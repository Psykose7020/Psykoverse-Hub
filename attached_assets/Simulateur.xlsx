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fc8302b68bfd31af/00. Ogame/8 - Tucana/"/>
    </mc:Choice>
  </mc:AlternateContent>
  <xr:revisionPtr revIDLastSave="2092" documentId="8_{63443C97-334D-4170-88D2-D97FCCEC7EF3}" xr6:coauthVersionLast="47" xr6:coauthVersionMax="47" xr10:uidLastSave="{5B81820D-FD0D-4CAB-9E32-7B5024FD8019}"/>
  <bookViews>
    <workbookView xWindow="-108" yWindow="-108" windowWidth="23256" windowHeight="12456" xr2:uid="{1ACA8273-782F-49E5-87BB-BB9DA5D87050}"/>
  </bookViews>
  <sheets>
    <sheet name="Mode Opératoire" sheetId="7" r:id="rId1"/>
    <sheet name="1. Base" sheetId="1" r:id="rId2"/>
    <sheet name="2. Simulation" sheetId="4" r:id="rId3"/>
    <sheet name="3. Comparaison" sheetId="5" r:id="rId4"/>
    <sheet name="4. Synthèse" sheetId="6" r:id="rId5"/>
    <sheet name="Listes" sheetId="8" state="hidden" r:id="rId6"/>
  </sheets>
  <definedNames>
    <definedName name="L_ACTI_INACTI">Listes!$A$2:$A$3</definedName>
    <definedName name="L_CLASSE">Listes!$C$2:$C$4</definedName>
    <definedName name="L_FDV">Listes!$B$2:$B$5</definedName>
    <definedName name="L_ON">Listes!$D$2:$D$3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5" l="1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V14" i="4"/>
  <c r="V15" i="4" s="1"/>
  <c r="V65" i="4" s="1"/>
  <c r="W14" i="4"/>
  <c r="X14" i="4"/>
  <c r="V14" i="1"/>
  <c r="W14" i="1"/>
  <c r="X14" i="1"/>
  <c r="Y17" i="1"/>
  <c r="Y35" i="1"/>
  <c r="X109" i="5"/>
  <c r="W109" i="5"/>
  <c r="V109" i="5"/>
  <c r="X103" i="5"/>
  <c r="W103" i="5"/>
  <c r="V103" i="5"/>
  <c r="X100" i="5"/>
  <c r="W100" i="5"/>
  <c r="V100" i="5"/>
  <c r="X94" i="5"/>
  <c r="W94" i="5"/>
  <c r="V94" i="5"/>
  <c r="X88" i="5"/>
  <c r="W88" i="5"/>
  <c r="V88" i="5"/>
  <c r="X87" i="5"/>
  <c r="W87" i="5"/>
  <c r="V87" i="5"/>
  <c r="X86" i="5"/>
  <c r="W86" i="5"/>
  <c r="X84" i="5"/>
  <c r="W84" i="5"/>
  <c r="V84" i="5"/>
  <c r="X81" i="5"/>
  <c r="W81" i="5"/>
  <c r="V81" i="5"/>
  <c r="X80" i="5"/>
  <c r="W80" i="5"/>
  <c r="V80" i="5"/>
  <c r="X68" i="5"/>
  <c r="W68" i="5"/>
  <c r="V68" i="5"/>
  <c r="X66" i="5"/>
  <c r="W66" i="5"/>
  <c r="V66" i="5"/>
  <c r="X64" i="5"/>
  <c r="W64" i="5"/>
  <c r="V64" i="5"/>
  <c r="X62" i="5"/>
  <c r="W62" i="5"/>
  <c r="V62" i="5"/>
  <c r="X60" i="5"/>
  <c r="W60" i="5"/>
  <c r="V60" i="5"/>
  <c r="X58" i="5"/>
  <c r="W58" i="5"/>
  <c r="V58" i="5"/>
  <c r="X56" i="5"/>
  <c r="W56" i="5"/>
  <c r="V56" i="5"/>
  <c r="X54" i="5"/>
  <c r="W54" i="5"/>
  <c r="V54" i="5"/>
  <c r="X53" i="5"/>
  <c r="X52" i="5"/>
  <c r="W52" i="5"/>
  <c r="V52" i="5"/>
  <c r="X50" i="5"/>
  <c r="W50" i="5"/>
  <c r="V50" i="5"/>
  <c r="X48" i="5"/>
  <c r="W48" i="5"/>
  <c r="V48" i="5"/>
  <c r="X46" i="5"/>
  <c r="W46" i="5"/>
  <c r="V46" i="5"/>
  <c r="X44" i="5"/>
  <c r="W44" i="5"/>
  <c r="V44" i="5"/>
  <c r="W43" i="5"/>
  <c r="X42" i="5"/>
  <c r="W42" i="5"/>
  <c r="V42" i="5"/>
  <c r="X40" i="5"/>
  <c r="W40" i="5"/>
  <c r="V40" i="5"/>
  <c r="X38" i="5"/>
  <c r="W38" i="5"/>
  <c r="V38" i="5"/>
  <c r="X37" i="5"/>
  <c r="W37" i="5"/>
  <c r="V37" i="5"/>
  <c r="X36" i="5"/>
  <c r="W36" i="5"/>
  <c r="V36" i="5"/>
  <c r="X35" i="5"/>
  <c r="W35" i="5"/>
  <c r="V35" i="5"/>
  <c r="X33" i="5"/>
  <c r="W33" i="5"/>
  <c r="V33" i="5"/>
  <c r="X32" i="5"/>
  <c r="W32" i="5"/>
  <c r="V32" i="5"/>
  <c r="X31" i="5"/>
  <c r="W31" i="5"/>
  <c r="V31" i="5"/>
  <c r="X29" i="5"/>
  <c r="W29" i="5"/>
  <c r="V29" i="5"/>
  <c r="X28" i="5"/>
  <c r="W28" i="5"/>
  <c r="V28" i="5"/>
  <c r="X27" i="5"/>
  <c r="W27" i="5"/>
  <c r="V27" i="5"/>
  <c r="X26" i="5"/>
  <c r="W26" i="5"/>
  <c r="V26" i="5"/>
  <c r="X25" i="5"/>
  <c r="W25" i="5"/>
  <c r="V25" i="5"/>
  <c r="X24" i="5"/>
  <c r="W24" i="5"/>
  <c r="V24" i="5"/>
  <c r="X23" i="5"/>
  <c r="W23" i="5"/>
  <c r="V23" i="5"/>
  <c r="X22" i="5"/>
  <c r="W22" i="5"/>
  <c r="V22" i="5"/>
  <c r="X21" i="5"/>
  <c r="W21" i="5"/>
  <c r="V21" i="5"/>
  <c r="X20" i="5"/>
  <c r="W20" i="5"/>
  <c r="V20" i="5"/>
  <c r="X19" i="5"/>
  <c r="W19" i="5"/>
  <c r="V19" i="5"/>
  <c r="X18" i="5"/>
  <c r="W18" i="5"/>
  <c r="V18" i="5"/>
  <c r="X17" i="5"/>
  <c r="W17" i="5"/>
  <c r="V17" i="5"/>
  <c r="X13" i="5"/>
  <c r="W13" i="5"/>
  <c r="V13" i="5"/>
  <c r="X106" i="4"/>
  <c r="W106" i="4"/>
  <c r="V106" i="4"/>
  <c r="X105" i="4"/>
  <c r="W105" i="4"/>
  <c r="V105" i="4"/>
  <c r="X104" i="4"/>
  <c r="W104" i="4"/>
  <c r="V104" i="4"/>
  <c r="V100" i="4"/>
  <c r="X88" i="4"/>
  <c r="X87" i="4"/>
  <c r="W87" i="4"/>
  <c r="V87" i="4"/>
  <c r="X86" i="4"/>
  <c r="W86" i="4"/>
  <c r="V86" i="4"/>
  <c r="X85" i="4"/>
  <c r="W85" i="4"/>
  <c r="V85" i="4"/>
  <c r="X84" i="4"/>
  <c r="W84" i="4"/>
  <c r="V84" i="4"/>
  <c r="X83" i="4"/>
  <c r="W83" i="4"/>
  <c r="V83" i="4"/>
  <c r="X82" i="4"/>
  <c r="W82" i="4"/>
  <c r="V82" i="4"/>
  <c r="X81" i="4"/>
  <c r="W81" i="4"/>
  <c r="V81" i="4"/>
  <c r="X80" i="4"/>
  <c r="X109" i="4" s="1"/>
  <c r="W80" i="4"/>
  <c r="W94" i="4" s="1"/>
  <c r="V80" i="4"/>
  <c r="V94" i="4" s="1"/>
  <c r="X69" i="4"/>
  <c r="X69" i="5" s="1"/>
  <c r="W69" i="4"/>
  <c r="V69" i="4"/>
  <c r="X67" i="4"/>
  <c r="W67" i="4"/>
  <c r="V67" i="4"/>
  <c r="X63" i="4"/>
  <c r="W63" i="4"/>
  <c r="V63" i="4"/>
  <c r="X61" i="4"/>
  <c r="W61" i="4"/>
  <c r="V61" i="4"/>
  <c r="X59" i="4"/>
  <c r="W59" i="4"/>
  <c r="W59" i="5" s="1"/>
  <c r="V59" i="4"/>
  <c r="V59" i="5" s="1"/>
  <c r="X57" i="4"/>
  <c r="W57" i="4"/>
  <c r="V57" i="4"/>
  <c r="X55" i="4"/>
  <c r="W55" i="4"/>
  <c r="V55" i="4"/>
  <c r="X53" i="4"/>
  <c r="W53" i="4"/>
  <c r="V53" i="4"/>
  <c r="X51" i="4"/>
  <c r="W51" i="4"/>
  <c r="V51" i="4"/>
  <c r="X49" i="4"/>
  <c r="W49" i="4"/>
  <c r="V49" i="4"/>
  <c r="X47" i="4"/>
  <c r="W47" i="4"/>
  <c r="V47" i="4"/>
  <c r="X45" i="4"/>
  <c r="W45" i="4"/>
  <c r="V45" i="4"/>
  <c r="X43" i="4"/>
  <c r="W43" i="4"/>
  <c r="V43" i="4"/>
  <c r="V43" i="5" s="1"/>
  <c r="X41" i="4"/>
  <c r="W41" i="4"/>
  <c r="V41" i="4"/>
  <c r="W15" i="4"/>
  <c r="W65" i="4" s="1"/>
  <c r="X15" i="4"/>
  <c r="X65" i="4" s="1"/>
  <c r="X77" i="4"/>
  <c r="W77" i="4"/>
  <c r="V77" i="4"/>
  <c r="T79" i="4"/>
  <c r="S79" i="4"/>
  <c r="R79" i="4"/>
  <c r="Q79" i="4"/>
  <c r="P79" i="4"/>
  <c r="O79" i="4"/>
  <c r="N79" i="4"/>
  <c r="M79" i="4"/>
  <c r="L79" i="4"/>
  <c r="K79" i="4"/>
  <c r="J79" i="4"/>
  <c r="J93" i="4" s="1"/>
  <c r="I79" i="4"/>
  <c r="H79" i="4"/>
  <c r="G79" i="4"/>
  <c r="F79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T76" i="4"/>
  <c r="T78" i="4" s="1"/>
  <c r="S76" i="4"/>
  <c r="S78" i="4" s="1"/>
  <c r="R76" i="4"/>
  <c r="R78" i="4" s="1"/>
  <c r="Q76" i="4"/>
  <c r="Q78" i="4" s="1"/>
  <c r="P76" i="4"/>
  <c r="P78" i="4" s="1"/>
  <c r="O76" i="4"/>
  <c r="O78" i="4" s="1"/>
  <c r="N76" i="4"/>
  <c r="N78" i="4" s="1"/>
  <c r="M76" i="4"/>
  <c r="M78" i="4" s="1"/>
  <c r="M101" i="4" s="1"/>
  <c r="L76" i="4"/>
  <c r="L78" i="4" s="1"/>
  <c r="K76" i="4"/>
  <c r="K78" i="4" s="1"/>
  <c r="J76" i="4"/>
  <c r="J78" i="4" s="1"/>
  <c r="I76" i="4"/>
  <c r="I78" i="4" s="1"/>
  <c r="H76" i="4"/>
  <c r="H78" i="4" s="1"/>
  <c r="G76" i="4"/>
  <c r="G78" i="4" s="1"/>
  <c r="F76" i="4"/>
  <c r="F78" i="4" s="1"/>
  <c r="F77" i="1"/>
  <c r="F77" i="5" s="1"/>
  <c r="V77" i="1"/>
  <c r="V77" i="5" s="1"/>
  <c r="W77" i="1"/>
  <c r="W77" i="5" s="1"/>
  <c r="X77" i="1"/>
  <c r="X77" i="5" s="1"/>
  <c r="F79" i="1"/>
  <c r="V79" i="1"/>
  <c r="W79" i="1"/>
  <c r="X79" i="1"/>
  <c r="X106" i="1"/>
  <c r="W106" i="1"/>
  <c r="W106" i="5" s="1"/>
  <c r="V106" i="1"/>
  <c r="X105" i="1"/>
  <c r="X105" i="5" s="1"/>
  <c r="W105" i="1"/>
  <c r="V105" i="1"/>
  <c r="X104" i="1"/>
  <c r="W104" i="1"/>
  <c r="V104" i="1"/>
  <c r="X88" i="1"/>
  <c r="W88" i="1"/>
  <c r="V88" i="1"/>
  <c r="X87" i="1"/>
  <c r="W87" i="1"/>
  <c r="V87" i="1"/>
  <c r="X86" i="1"/>
  <c r="W86" i="1"/>
  <c r="V86" i="1"/>
  <c r="V86" i="5" s="1"/>
  <c r="X85" i="1"/>
  <c r="X85" i="5" s="1"/>
  <c r="W85" i="1"/>
  <c r="W85" i="5" s="1"/>
  <c r="V85" i="1"/>
  <c r="X84" i="1"/>
  <c r="V84" i="1"/>
  <c r="X81" i="1"/>
  <c r="W81" i="1"/>
  <c r="V81" i="1"/>
  <c r="X80" i="1"/>
  <c r="X109" i="1" s="1"/>
  <c r="W80" i="1"/>
  <c r="W94" i="1" s="1"/>
  <c r="V80" i="1"/>
  <c r="V94" i="1" s="1"/>
  <c r="V76" i="1"/>
  <c r="V78" i="1" s="1"/>
  <c r="X69" i="1"/>
  <c r="W69" i="1"/>
  <c r="W69" i="5" s="1"/>
  <c r="V69" i="1"/>
  <c r="V69" i="5" s="1"/>
  <c r="X67" i="1"/>
  <c r="W67" i="1"/>
  <c r="W67" i="5" s="1"/>
  <c r="V67" i="1"/>
  <c r="V67" i="5" s="1"/>
  <c r="X63" i="1"/>
  <c r="W63" i="1"/>
  <c r="V63" i="1"/>
  <c r="X61" i="1"/>
  <c r="X61" i="5" s="1"/>
  <c r="W61" i="1"/>
  <c r="W61" i="5" s="1"/>
  <c r="V61" i="1"/>
  <c r="V61" i="5" s="1"/>
  <c r="X59" i="1"/>
  <c r="X59" i="5" s="1"/>
  <c r="W59" i="1"/>
  <c r="V59" i="1"/>
  <c r="X57" i="1"/>
  <c r="X57" i="5" s="1"/>
  <c r="W57" i="1"/>
  <c r="W57" i="5" s="1"/>
  <c r="V57" i="1"/>
  <c r="V57" i="5" s="1"/>
  <c r="X55" i="1"/>
  <c r="X55" i="5" s="1"/>
  <c r="W55" i="1"/>
  <c r="V55" i="1"/>
  <c r="V55" i="5" s="1"/>
  <c r="X53" i="1"/>
  <c r="W53" i="1"/>
  <c r="V53" i="1"/>
  <c r="X51" i="1"/>
  <c r="W51" i="1"/>
  <c r="W51" i="5" s="1"/>
  <c r="V51" i="1"/>
  <c r="V51" i="5" s="1"/>
  <c r="X49" i="1"/>
  <c r="X49" i="5" s="1"/>
  <c r="W49" i="1"/>
  <c r="W49" i="5" s="1"/>
  <c r="V49" i="1"/>
  <c r="V49" i="5" s="1"/>
  <c r="X47" i="1"/>
  <c r="X47" i="5" s="1"/>
  <c r="W47" i="1"/>
  <c r="W47" i="5" s="1"/>
  <c r="V47" i="1"/>
  <c r="V47" i="5" s="1"/>
  <c r="X45" i="1"/>
  <c r="X45" i="5" s="1"/>
  <c r="W45" i="1"/>
  <c r="W45" i="5" s="1"/>
  <c r="V45" i="1"/>
  <c r="X43" i="1"/>
  <c r="X43" i="5" s="1"/>
  <c r="W43" i="1"/>
  <c r="V43" i="1"/>
  <c r="X41" i="1"/>
  <c r="W41" i="1"/>
  <c r="V41" i="1"/>
  <c r="V41" i="5" s="1"/>
  <c r="W15" i="1"/>
  <c r="W65" i="1" s="1"/>
  <c r="X15" i="1"/>
  <c r="X65" i="1" s="1"/>
  <c r="V15" i="1"/>
  <c r="V65" i="1" s="1"/>
  <c r="X76" i="1"/>
  <c r="X78" i="1" s="1"/>
  <c r="C68" i="5"/>
  <c r="C66" i="5"/>
  <c r="C64" i="5"/>
  <c r="C62" i="5"/>
  <c r="C60" i="5"/>
  <c r="C58" i="5"/>
  <c r="C56" i="5"/>
  <c r="C54" i="5"/>
  <c r="C52" i="5"/>
  <c r="C50" i="5"/>
  <c r="C48" i="5"/>
  <c r="C46" i="5"/>
  <c r="C44" i="5"/>
  <c r="C42" i="5"/>
  <c r="C40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E13" i="5"/>
  <c r="M5" i="5"/>
  <c r="M4" i="5"/>
  <c r="M3" i="5"/>
  <c r="M2" i="5"/>
  <c r="E3" i="5"/>
  <c r="E81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E17" i="5"/>
  <c r="R109" i="4"/>
  <c r="J108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J102" i="4"/>
  <c r="H102" i="4"/>
  <c r="M94" i="4"/>
  <c r="F93" i="4"/>
  <c r="U88" i="4"/>
  <c r="T88" i="4"/>
  <c r="S88" i="4"/>
  <c r="R88" i="4"/>
  <c r="Q88" i="4"/>
  <c r="O88" i="4"/>
  <c r="N88" i="4"/>
  <c r="M88" i="4"/>
  <c r="L88" i="4"/>
  <c r="K88" i="4"/>
  <c r="J88" i="4"/>
  <c r="I88" i="4"/>
  <c r="H88" i="4"/>
  <c r="G88" i="4"/>
  <c r="F88" i="4"/>
  <c r="U87" i="4"/>
  <c r="T87" i="4"/>
  <c r="S87" i="4"/>
  <c r="R87" i="4"/>
  <c r="Q87" i="4"/>
  <c r="P87" i="4"/>
  <c r="N87" i="4"/>
  <c r="M87" i="4"/>
  <c r="L87" i="4"/>
  <c r="K87" i="4"/>
  <c r="J87" i="4"/>
  <c r="I87" i="4"/>
  <c r="H87" i="4"/>
  <c r="G87" i="4"/>
  <c r="F87" i="4"/>
  <c r="E87" i="4"/>
  <c r="U86" i="4"/>
  <c r="T86" i="4"/>
  <c r="S86" i="4"/>
  <c r="R86" i="4"/>
  <c r="Q86" i="4"/>
  <c r="P86" i="4"/>
  <c r="N86" i="4"/>
  <c r="M86" i="4"/>
  <c r="L86" i="4"/>
  <c r="K86" i="4"/>
  <c r="J86" i="4"/>
  <c r="I86" i="4"/>
  <c r="H86" i="4"/>
  <c r="G86" i="4"/>
  <c r="F86" i="4"/>
  <c r="E86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Q84" i="4"/>
  <c r="P84" i="4"/>
  <c r="O84" i="4"/>
  <c r="N84" i="4"/>
  <c r="M84" i="4"/>
  <c r="L84" i="4"/>
  <c r="K84" i="4"/>
  <c r="P83" i="4"/>
  <c r="O83" i="4"/>
  <c r="J83" i="4"/>
  <c r="F83" i="4"/>
  <c r="R82" i="4"/>
  <c r="P82" i="4"/>
  <c r="O82" i="4"/>
  <c r="M82" i="4"/>
  <c r="L82" i="4"/>
  <c r="K82" i="4"/>
  <c r="H82" i="4"/>
  <c r="G82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U80" i="4"/>
  <c r="U103" i="4" s="1"/>
  <c r="T80" i="4"/>
  <c r="T100" i="4" s="1"/>
  <c r="S80" i="4"/>
  <c r="S103" i="4" s="1"/>
  <c r="R80" i="4"/>
  <c r="R103" i="4" s="1"/>
  <c r="Q80" i="4"/>
  <c r="Q103" i="4" s="1"/>
  <c r="P80" i="4"/>
  <c r="O80" i="4"/>
  <c r="O94" i="4" s="1"/>
  <c r="N80" i="4"/>
  <c r="N100" i="4" s="1"/>
  <c r="M80" i="4"/>
  <c r="M100" i="4" s="1"/>
  <c r="L80" i="4"/>
  <c r="L100" i="4" s="1"/>
  <c r="K80" i="4"/>
  <c r="K100" i="4" s="1"/>
  <c r="J80" i="4"/>
  <c r="J103" i="4" s="1"/>
  <c r="I80" i="4"/>
  <c r="I100" i="4" s="1"/>
  <c r="H80" i="4"/>
  <c r="H84" i="4" s="1"/>
  <c r="G80" i="4"/>
  <c r="G100" i="4" s="1"/>
  <c r="F80" i="4"/>
  <c r="F109" i="4" s="1"/>
  <c r="E80" i="4"/>
  <c r="E100" i="4" s="1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Y68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Y66" i="4"/>
  <c r="P65" i="4"/>
  <c r="Y64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Y62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Y60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Y58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Y56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Y54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Y52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Y50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Y48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Y46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Y44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Y42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Y40" i="4"/>
  <c r="Y38" i="4"/>
  <c r="Y37" i="4"/>
  <c r="Y36" i="4"/>
  <c r="Y35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S15" i="4"/>
  <c r="S65" i="4" s="1"/>
  <c r="E15" i="4"/>
  <c r="E65" i="4" s="1"/>
  <c r="U14" i="4"/>
  <c r="U15" i="4" s="1"/>
  <c r="U65" i="4" s="1"/>
  <c r="T14" i="4"/>
  <c r="T15" i="4" s="1"/>
  <c r="T65" i="4" s="1"/>
  <c r="S14" i="4"/>
  <c r="R14" i="4"/>
  <c r="Q14" i="4"/>
  <c r="P14" i="4"/>
  <c r="P15" i="4" s="1"/>
  <c r="O14" i="4"/>
  <c r="O15" i="4" s="1"/>
  <c r="O65" i="4" s="1"/>
  <c r="N14" i="4"/>
  <c r="N15" i="4" s="1"/>
  <c r="N65" i="4" s="1"/>
  <c r="M14" i="4"/>
  <c r="M15" i="4" s="1"/>
  <c r="M65" i="4" s="1"/>
  <c r="L14" i="4"/>
  <c r="L15" i="4" s="1"/>
  <c r="L65" i="4" s="1"/>
  <c r="K14" i="4"/>
  <c r="K15" i="4" s="1"/>
  <c r="K65" i="4" s="1"/>
  <c r="J14" i="4"/>
  <c r="J15" i="4" s="1"/>
  <c r="J65" i="4" s="1"/>
  <c r="I14" i="4"/>
  <c r="I15" i="4" s="1"/>
  <c r="I65" i="4" s="1"/>
  <c r="H14" i="4"/>
  <c r="H15" i="4" s="1"/>
  <c r="H65" i="4" s="1"/>
  <c r="G14" i="4"/>
  <c r="G15" i="4" s="1"/>
  <c r="G65" i="4" s="1"/>
  <c r="F14" i="4"/>
  <c r="F90" i="4" s="1"/>
  <c r="E14" i="4"/>
  <c r="E91" i="4" s="1"/>
  <c r="U79" i="4"/>
  <c r="E11" i="4"/>
  <c r="E79" i="4" s="1"/>
  <c r="F69" i="1"/>
  <c r="G69" i="1"/>
  <c r="H69" i="1"/>
  <c r="H69" i="5" s="1"/>
  <c r="I69" i="1"/>
  <c r="J69" i="1"/>
  <c r="J69" i="5" s="1"/>
  <c r="K69" i="1"/>
  <c r="L69" i="1"/>
  <c r="M69" i="1"/>
  <c r="N69" i="1"/>
  <c r="N69" i="5" s="1"/>
  <c r="O69" i="1"/>
  <c r="O69" i="5" s="1"/>
  <c r="P69" i="1"/>
  <c r="P69" i="5" s="1"/>
  <c r="Q69" i="1"/>
  <c r="Q69" i="5" s="1"/>
  <c r="R69" i="1"/>
  <c r="S69" i="1"/>
  <c r="S69" i="5" s="1"/>
  <c r="T69" i="1"/>
  <c r="U69" i="1"/>
  <c r="U69" i="5" s="1"/>
  <c r="F67" i="1"/>
  <c r="G67" i="1"/>
  <c r="G67" i="5" s="1"/>
  <c r="H67" i="1"/>
  <c r="I67" i="1"/>
  <c r="J67" i="1"/>
  <c r="J67" i="5" s="1"/>
  <c r="K67" i="1"/>
  <c r="L67" i="1"/>
  <c r="L67" i="5" s="1"/>
  <c r="M67" i="1"/>
  <c r="M67" i="5" s="1"/>
  <c r="N67" i="1"/>
  <c r="N67" i="5" s="1"/>
  <c r="O67" i="1"/>
  <c r="P67" i="1"/>
  <c r="P67" i="5" s="1"/>
  <c r="Q67" i="1"/>
  <c r="Q67" i="5" s="1"/>
  <c r="R67" i="1"/>
  <c r="R67" i="5" s="1"/>
  <c r="S67" i="1"/>
  <c r="S67" i="5" s="1"/>
  <c r="T67" i="1"/>
  <c r="U67" i="1"/>
  <c r="U67" i="5" s="1"/>
  <c r="F63" i="1"/>
  <c r="G63" i="1"/>
  <c r="H63" i="1"/>
  <c r="H63" i="5" s="1"/>
  <c r="I63" i="1"/>
  <c r="I63" i="5" s="1"/>
  <c r="J63" i="1"/>
  <c r="K63" i="1"/>
  <c r="K63" i="5" s="1"/>
  <c r="L63" i="1"/>
  <c r="M63" i="1"/>
  <c r="M63" i="5" s="1"/>
  <c r="N63" i="1"/>
  <c r="N63" i="5" s="1"/>
  <c r="O63" i="1"/>
  <c r="O63" i="5" s="1"/>
  <c r="P63" i="1"/>
  <c r="P63" i="5" s="1"/>
  <c r="Q63" i="1"/>
  <c r="R63" i="1"/>
  <c r="R63" i="5" s="1"/>
  <c r="S63" i="1"/>
  <c r="S63" i="5" s="1"/>
  <c r="T63" i="1"/>
  <c r="T63" i="5" s="1"/>
  <c r="U63" i="1"/>
  <c r="F61" i="1"/>
  <c r="F61" i="5" s="1"/>
  <c r="G61" i="1"/>
  <c r="G61" i="5" s="1"/>
  <c r="H61" i="1"/>
  <c r="I61" i="1"/>
  <c r="J61" i="1"/>
  <c r="J61" i="5" s="1"/>
  <c r="K61" i="1"/>
  <c r="K61" i="5" s="1"/>
  <c r="L61" i="1"/>
  <c r="M61" i="1"/>
  <c r="M61" i="5" s="1"/>
  <c r="N61" i="1"/>
  <c r="O61" i="1"/>
  <c r="O61" i="5" s="1"/>
  <c r="P61" i="1"/>
  <c r="P61" i="5" s="1"/>
  <c r="Q61" i="1"/>
  <c r="Q61" i="5" s="1"/>
  <c r="R61" i="1"/>
  <c r="R61" i="5" s="1"/>
  <c r="S61" i="1"/>
  <c r="S61" i="5" s="1"/>
  <c r="T61" i="1"/>
  <c r="T61" i="5" s="1"/>
  <c r="U61" i="1"/>
  <c r="F59" i="1"/>
  <c r="F59" i="5" s="1"/>
  <c r="G59" i="1"/>
  <c r="H59" i="1"/>
  <c r="I59" i="1"/>
  <c r="J59" i="1"/>
  <c r="J59" i="5" s="1"/>
  <c r="K59" i="1"/>
  <c r="L59" i="1"/>
  <c r="L59" i="5" s="1"/>
  <c r="M59" i="1"/>
  <c r="M59" i="5" s="1"/>
  <c r="N59" i="1"/>
  <c r="O59" i="1"/>
  <c r="P59" i="1"/>
  <c r="Q59" i="1"/>
  <c r="Q59" i="5" s="1"/>
  <c r="R59" i="1"/>
  <c r="R59" i="5" s="1"/>
  <c r="S59" i="1"/>
  <c r="S59" i="5" s="1"/>
  <c r="T59" i="1"/>
  <c r="T59" i="5" s="1"/>
  <c r="U59" i="1"/>
  <c r="F57" i="1"/>
  <c r="F57" i="5" s="1"/>
  <c r="G57" i="1"/>
  <c r="H57" i="1"/>
  <c r="H57" i="5" s="1"/>
  <c r="I57" i="1"/>
  <c r="J57" i="1"/>
  <c r="J57" i="5" s="1"/>
  <c r="K57" i="1"/>
  <c r="L57" i="1"/>
  <c r="M57" i="1"/>
  <c r="N57" i="1"/>
  <c r="N57" i="5" s="1"/>
  <c r="O57" i="1"/>
  <c r="O57" i="5" s="1"/>
  <c r="P57" i="1"/>
  <c r="Q57" i="1"/>
  <c r="Q57" i="5" s="1"/>
  <c r="R57" i="1"/>
  <c r="S57" i="1"/>
  <c r="S57" i="5" s="1"/>
  <c r="T57" i="1"/>
  <c r="T57" i="5" s="1"/>
  <c r="U57" i="1"/>
  <c r="U57" i="5" s="1"/>
  <c r="F55" i="1"/>
  <c r="F55" i="5" s="1"/>
  <c r="G55" i="1"/>
  <c r="G55" i="5" s="1"/>
  <c r="H55" i="1"/>
  <c r="H55" i="5" s="1"/>
  <c r="I55" i="1"/>
  <c r="J55" i="1"/>
  <c r="J55" i="5" s="1"/>
  <c r="K55" i="1"/>
  <c r="L55" i="1"/>
  <c r="L55" i="5" s="1"/>
  <c r="M55" i="1"/>
  <c r="N55" i="1"/>
  <c r="O55" i="1"/>
  <c r="P55" i="1"/>
  <c r="P55" i="5" s="1"/>
  <c r="Q55" i="1"/>
  <c r="Q55" i="5" s="1"/>
  <c r="R55" i="1"/>
  <c r="S55" i="1"/>
  <c r="S55" i="5" s="1"/>
  <c r="T55" i="1"/>
  <c r="U55" i="1"/>
  <c r="U55" i="5" s="1"/>
  <c r="F53" i="1"/>
  <c r="G53" i="1"/>
  <c r="G53" i="5" s="1"/>
  <c r="H53" i="1"/>
  <c r="H53" i="5" s="1"/>
  <c r="I53" i="1"/>
  <c r="I53" i="5" s="1"/>
  <c r="J53" i="1"/>
  <c r="J53" i="5" s="1"/>
  <c r="K53" i="1"/>
  <c r="L53" i="1"/>
  <c r="L53" i="5" s="1"/>
  <c r="M53" i="1"/>
  <c r="N53" i="1"/>
  <c r="N53" i="5" s="1"/>
  <c r="O53" i="1"/>
  <c r="O53" i="5" s="1"/>
  <c r="P53" i="1"/>
  <c r="P53" i="5" s="1"/>
  <c r="Q53" i="1"/>
  <c r="R53" i="1"/>
  <c r="S53" i="1"/>
  <c r="S53" i="5" s="1"/>
  <c r="T53" i="1"/>
  <c r="U53" i="1"/>
  <c r="F51" i="1"/>
  <c r="G51" i="1"/>
  <c r="G51" i="5" s="1"/>
  <c r="H51" i="1"/>
  <c r="I51" i="1"/>
  <c r="I51" i="5" s="1"/>
  <c r="J51" i="1"/>
  <c r="J51" i="5" s="1"/>
  <c r="K51" i="1"/>
  <c r="K51" i="5" s="1"/>
  <c r="L51" i="1"/>
  <c r="M51" i="1"/>
  <c r="N51" i="1"/>
  <c r="N51" i="5" s="1"/>
  <c r="O51" i="1"/>
  <c r="P51" i="1"/>
  <c r="P51" i="5" s="1"/>
  <c r="Q51" i="1"/>
  <c r="Q51" i="5" s="1"/>
  <c r="R51" i="1"/>
  <c r="S51" i="1"/>
  <c r="T51" i="1"/>
  <c r="T51" i="5" s="1"/>
  <c r="U51" i="1"/>
  <c r="U51" i="5" s="1"/>
  <c r="F49" i="1"/>
  <c r="G49" i="1"/>
  <c r="G49" i="5" s="1"/>
  <c r="H49" i="1"/>
  <c r="I49" i="1"/>
  <c r="I49" i="5" s="1"/>
  <c r="J49" i="1"/>
  <c r="K49" i="1"/>
  <c r="K49" i="5" s="1"/>
  <c r="L49" i="1"/>
  <c r="L49" i="5" s="1"/>
  <c r="M49" i="1"/>
  <c r="M49" i="5" s="1"/>
  <c r="N49" i="1"/>
  <c r="N49" i="5" s="1"/>
  <c r="O49" i="1"/>
  <c r="P49" i="1"/>
  <c r="P49" i="5" s="1"/>
  <c r="Q49" i="1"/>
  <c r="R49" i="1"/>
  <c r="S49" i="1"/>
  <c r="S49" i="5" s="1"/>
  <c r="T49" i="1"/>
  <c r="U49" i="1"/>
  <c r="F47" i="1"/>
  <c r="G47" i="1"/>
  <c r="H47" i="1"/>
  <c r="H47" i="5" s="1"/>
  <c r="I47" i="1"/>
  <c r="I47" i="5" s="1"/>
  <c r="J47" i="1"/>
  <c r="K47" i="1"/>
  <c r="K47" i="5" s="1"/>
  <c r="L47" i="1"/>
  <c r="M47" i="1"/>
  <c r="M47" i="5" s="1"/>
  <c r="N47" i="1"/>
  <c r="N47" i="5" s="1"/>
  <c r="O47" i="1"/>
  <c r="O47" i="5" s="1"/>
  <c r="P47" i="1"/>
  <c r="P47" i="5" s="1"/>
  <c r="Q47" i="1"/>
  <c r="R47" i="1"/>
  <c r="R47" i="5" s="1"/>
  <c r="S47" i="1"/>
  <c r="S47" i="5" s="1"/>
  <c r="T47" i="1"/>
  <c r="U47" i="1"/>
  <c r="F45" i="1"/>
  <c r="F45" i="5" s="1"/>
  <c r="G45" i="1"/>
  <c r="H45" i="1"/>
  <c r="I45" i="1"/>
  <c r="J45" i="1"/>
  <c r="K45" i="1"/>
  <c r="K45" i="5" s="1"/>
  <c r="L45" i="1"/>
  <c r="M45" i="1"/>
  <c r="M45" i="5" s="1"/>
  <c r="N45" i="1"/>
  <c r="O45" i="1"/>
  <c r="O45" i="5" s="1"/>
  <c r="P45" i="1"/>
  <c r="P45" i="5" s="1"/>
  <c r="Q45" i="1"/>
  <c r="Q45" i="5" s="1"/>
  <c r="R45" i="1"/>
  <c r="R45" i="5" s="1"/>
  <c r="S45" i="1"/>
  <c r="S45" i="5" s="1"/>
  <c r="T45" i="1"/>
  <c r="T45" i="5" s="1"/>
  <c r="U45" i="1"/>
  <c r="F43" i="1"/>
  <c r="F43" i="5" s="1"/>
  <c r="G43" i="1"/>
  <c r="H43" i="1"/>
  <c r="I43" i="1"/>
  <c r="J43" i="1"/>
  <c r="K43" i="1"/>
  <c r="L43" i="1"/>
  <c r="M43" i="1"/>
  <c r="M43" i="5" s="1"/>
  <c r="N43" i="1"/>
  <c r="O43" i="1"/>
  <c r="O43" i="5" s="1"/>
  <c r="P43" i="1"/>
  <c r="Q43" i="1"/>
  <c r="Q43" i="5" s="1"/>
  <c r="R43" i="1"/>
  <c r="R43" i="5" s="1"/>
  <c r="S43" i="1"/>
  <c r="S43" i="5" s="1"/>
  <c r="T43" i="1"/>
  <c r="T43" i="5" s="1"/>
  <c r="U43" i="1"/>
  <c r="F41" i="1"/>
  <c r="F41" i="5" s="1"/>
  <c r="G41" i="1"/>
  <c r="H41" i="1"/>
  <c r="H41" i="5" s="1"/>
  <c r="I41" i="1"/>
  <c r="J41" i="1"/>
  <c r="K41" i="1"/>
  <c r="L41" i="1"/>
  <c r="M41" i="1"/>
  <c r="N41" i="1"/>
  <c r="N41" i="5" s="1"/>
  <c r="O41" i="1"/>
  <c r="O41" i="5" s="1"/>
  <c r="P41" i="1"/>
  <c r="Q41" i="1"/>
  <c r="Q41" i="5" s="1"/>
  <c r="R41" i="1"/>
  <c r="S41" i="1"/>
  <c r="S41" i="5" s="1"/>
  <c r="T41" i="1"/>
  <c r="T41" i="5" s="1"/>
  <c r="U41" i="1"/>
  <c r="E41" i="1"/>
  <c r="E43" i="1"/>
  <c r="E43" i="5" s="1"/>
  <c r="E45" i="1"/>
  <c r="E47" i="1"/>
  <c r="E49" i="1"/>
  <c r="E51" i="1"/>
  <c r="E53" i="1"/>
  <c r="E55" i="1"/>
  <c r="E57" i="1"/>
  <c r="E59" i="1"/>
  <c r="E63" i="1"/>
  <c r="E63" i="5" s="1"/>
  <c r="E67" i="1"/>
  <c r="E69" i="1"/>
  <c r="E69" i="5" s="1"/>
  <c r="E65" i="1"/>
  <c r="E65" i="5" s="1"/>
  <c r="E61" i="1"/>
  <c r="H67" i="5" l="1"/>
  <c r="F69" i="5"/>
  <c r="R49" i="5"/>
  <c r="R55" i="5"/>
  <c r="P72" i="4"/>
  <c r="V106" i="5"/>
  <c r="P57" i="5"/>
  <c r="N59" i="5"/>
  <c r="P41" i="5"/>
  <c r="N43" i="5"/>
  <c r="L45" i="5"/>
  <c r="L61" i="5"/>
  <c r="J41" i="5"/>
  <c r="J63" i="5"/>
  <c r="Y35" i="5"/>
  <c r="H43" i="5"/>
  <c r="H59" i="5"/>
  <c r="F67" i="5"/>
  <c r="U41" i="5"/>
  <c r="F51" i="5"/>
  <c r="T47" i="5"/>
  <c r="T53" i="5"/>
  <c r="T69" i="5"/>
  <c r="K94" i="4"/>
  <c r="L94" i="4"/>
  <c r="R97" i="4"/>
  <c r="X106" i="5"/>
  <c r="L103" i="4"/>
  <c r="M103" i="4"/>
  <c r="Y19" i="5"/>
  <c r="F15" i="4"/>
  <c r="F65" i="4" s="1"/>
  <c r="J91" i="4"/>
  <c r="K109" i="4"/>
  <c r="K91" i="4"/>
  <c r="E99" i="4"/>
  <c r="E102" i="4"/>
  <c r="E88" i="4"/>
  <c r="E76" i="4"/>
  <c r="E78" i="4" s="1"/>
  <c r="E107" i="4" s="1"/>
  <c r="E77" i="4"/>
  <c r="E49" i="5"/>
  <c r="E67" i="5"/>
  <c r="W104" i="5"/>
  <c r="V85" i="5"/>
  <c r="V65" i="5"/>
  <c r="X65" i="5"/>
  <c r="W65" i="5"/>
  <c r="V104" i="5"/>
  <c r="W105" i="5"/>
  <c r="N107" i="4"/>
  <c r="N101" i="4"/>
  <c r="N89" i="4"/>
  <c r="N95" i="4"/>
  <c r="O107" i="4"/>
  <c r="O92" i="4"/>
  <c r="O95" i="4"/>
  <c r="O101" i="4"/>
  <c r="P98" i="4"/>
  <c r="P95" i="4"/>
  <c r="Y43" i="4"/>
  <c r="H115" i="4" s="1"/>
  <c r="O55" i="5"/>
  <c r="Y47" i="4"/>
  <c r="Y63" i="4"/>
  <c r="H131" i="4" s="1"/>
  <c r="Y59" i="4"/>
  <c r="O49" i="5"/>
  <c r="O73" i="5" s="1"/>
  <c r="O67" i="5"/>
  <c r="J97" i="4"/>
  <c r="L109" i="4"/>
  <c r="Y49" i="4"/>
  <c r="W122" i="4" s="1"/>
  <c r="K53" i="5"/>
  <c r="Y51" i="4"/>
  <c r="R123" i="4" s="1"/>
  <c r="N97" i="4"/>
  <c r="G103" i="4"/>
  <c r="M109" i="4"/>
  <c r="J49" i="5"/>
  <c r="G91" i="4"/>
  <c r="O97" i="4"/>
  <c r="N109" i="4"/>
  <c r="I55" i="5"/>
  <c r="I67" i="5"/>
  <c r="Y53" i="4"/>
  <c r="V124" i="4" s="1"/>
  <c r="I91" i="4"/>
  <c r="Q97" i="4"/>
  <c r="K103" i="4"/>
  <c r="Q109" i="4"/>
  <c r="G41" i="5"/>
  <c r="G57" i="5"/>
  <c r="G69" i="5"/>
  <c r="Y55" i="4"/>
  <c r="U126" i="4" s="1"/>
  <c r="Y67" i="4"/>
  <c r="X132" i="4" s="1"/>
  <c r="S97" i="4"/>
  <c r="S109" i="4"/>
  <c r="U43" i="5"/>
  <c r="U59" i="5"/>
  <c r="Y41" i="4"/>
  <c r="I112" i="4" s="1"/>
  <c r="Y57" i="4"/>
  <c r="M128" i="4" s="1"/>
  <c r="Y69" i="4"/>
  <c r="V135" i="4" s="1"/>
  <c r="T103" i="4"/>
  <c r="R69" i="5"/>
  <c r="O100" i="4"/>
  <c r="S51" i="5"/>
  <c r="S72" i="5" s="1"/>
  <c r="Q47" i="5"/>
  <c r="Q53" i="5"/>
  <c r="Q63" i="5"/>
  <c r="Y45" i="4"/>
  <c r="W116" i="4" s="1"/>
  <c r="Y61" i="4"/>
  <c r="P43" i="5"/>
  <c r="P73" i="5" s="1"/>
  <c r="Q94" i="4"/>
  <c r="U100" i="4"/>
  <c r="Y38" i="5"/>
  <c r="I69" i="5"/>
  <c r="F79" i="5"/>
  <c r="Y20" i="5"/>
  <c r="L51" i="5"/>
  <c r="M51" i="5"/>
  <c r="K43" i="5"/>
  <c r="L43" i="5"/>
  <c r="J45" i="5"/>
  <c r="R53" i="5"/>
  <c r="Y53" i="1"/>
  <c r="J47" i="5"/>
  <c r="H49" i="5"/>
  <c r="O59" i="5"/>
  <c r="P59" i="5"/>
  <c r="X76" i="5"/>
  <c r="Y59" i="1"/>
  <c r="Y57" i="1"/>
  <c r="M41" i="5"/>
  <c r="M53" i="5"/>
  <c r="M73" i="5" s="1"/>
  <c r="M55" i="5"/>
  <c r="M57" i="5"/>
  <c r="L69" i="5"/>
  <c r="W41" i="5"/>
  <c r="X51" i="5"/>
  <c r="V63" i="5"/>
  <c r="L41" i="5"/>
  <c r="L47" i="5"/>
  <c r="L57" i="5"/>
  <c r="L63" i="5"/>
  <c r="K67" i="5"/>
  <c r="K69" i="5"/>
  <c r="P73" i="4"/>
  <c r="X41" i="5"/>
  <c r="X73" i="5" s="1"/>
  <c r="V53" i="5"/>
  <c r="W63" i="5"/>
  <c r="N45" i="5"/>
  <c r="N55" i="5"/>
  <c r="N61" i="5"/>
  <c r="M69" i="5"/>
  <c r="K41" i="5"/>
  <c r="K55" i="5"/>
  <c r="K57" i="5"/>
  <c r="K59" i="5"/>
  <c r="W53" i="5"/>
  <c r="W73" i="5" s="1"/>
  <c r="X63" i="5"/>
  <c r="I41" i="5"/>
  <c r="I45" i="5"/>
  <c r="I57" i="5"/>
  <c r="I59" i="5"/>
  <c r="I61" i="5"/>
  <c r="E47" i="5"/>
  <c r="I43" i="5"/>
  <c r="E45" i="5"/>
  <c r="H45" i="5"/>
  <c r="H51" i="5"/>
  <c r="H61" i="5"/>
  <c r="V45" i="5"/>
  <c r="W55" i="5"/>
  <c r="W71" i="5" s="1"/>
  <c r="X67" i="5"/>
  <c r="G63" i="5"/>
  <c r="G43" i="5"/>
  <c r="G47" i="5"/>
  <c r="G59" i="5"/>
  <c r="F47" i="5"/>
  <c r="F49" i="5"/>
  <c r="F53" i="5"/>
  <c r="F63" i="5"/>
  <c r="Y56" i="5"/>
  <c r="O51" i="5"/>
  <c r="J43" i="5"/>
  <c r="G45" i="5"/>
  <c r="U45" i="5"/>
  <c r="U47" i="5"/>
  <c r="U49" i="5"/>
  <c r="U61" i="5"/>
  <c r="U63" i="5"/>
  <c r="T67" i="5"/>
  <c r="Q49" i="5"/>
  <c r="E61" i="5"/>
  <c r="T49" i="5"/>
  <c r="T55" i="5"/>
  <c r="R41" i="5"/>
  <c r="R51" i="5"/>
  <c r="R57" i="5"/>
  <c r="Y40" i="5"/>
  <c r="Y51" i="1"/>
  <c r="Y43" i="1"/>
  <c r="Y52" i="5"/>
  <c r="Y45" i="1"/>
  <c r="E53" i="5"/>
  <c r="V71" i="5"/>
  <c r="Y47" i="1"/>
  <c r="X104" i="5"/>
  <c r="Y49" i="1"/>
  <c r="E57" i="5"/>
  <c r="V105" i="5"/>
  <c r="E59" i="5"/>
  <c r="Y42" i="5"/>
  <c r="Y58" i="5"/>
  <c r="Y69" i="1"/>
  <c r="Y46" i="5"/>
  <c r="Y64" i="5"/>
  <c r="Y55" i="1"/>
  <c r="Y67" i="1"/>
  <c r="Y63" i="1"/>
  <c r="Y62" i="5"/>
  <c r="Y61" i="1"/>
  <c r="E55" i="5"/>
  <c r="Y50" i="5"/>
  <c r="E51" i="5"/>
  <c r="Y41" i="1"/>
  <c r="E41" i="5"/>
  <c r="V72" i="5"/>
  <c r="W72" i="5"/>
  <c r="V73" i="5"/>
  <c r="Y54" i="5"/>
  <c r="W71" i="4"/>
  <c r="X73" i="4"/>
  <c r="Y81" i="4"/>
  <c r="V73" i="4"/>
  <c r="X94" i="4"/>
  <c r="X100" i="4"/>
  <c r="X103" i="4"/>
  <c r="V71" i="4"/>
  <c r="W73" i="4"/>
  <c r="Y24" i="5"/>
  <c r="U76" i="4"/>
  <c r="U78" i="4" s="1"/>
  <c r="U95" i="4" s="1"/>
  <c r="X71" i="4"/>
  <c r="V79" i="4"/>
  <c r="V79" i="5" s="1"/>
  <c r="W100" i="4"/>
  <c r="W132" i="4"/>
  <c r="Y48" i="5"/>
  <c r="Y18" i="5"/>
  <c r="U77" i="4"/>
  <c r="V72" i="4"/>
  <c r="W79" i="4"/>
  <c r="W79" i="5" s="1"/>
  <c r="W72" i="4"/>
  <c r="X79" i="4"/>
  <c r="X79" i="5" s="1"/>
  <c r="U109" i="4"/>
  <c r="X72" i="4"/>
  <c r="Y23" i="5"/>
  <c r="V91" i="4"/>
  <c r="W91" i="4"/>
  <c r="U53" i="5"/>
  <c r="X91" i="4"/>
  <c r="V97" i="4"/>
  <c r="V76" i="4"/>
  <c r="W97" i="4"/>
  <c r="W76" i="4"/>
  <c r="W78" i="4" s="1"/>
  <c r="X97" i="4"/>
  <c r="V103" i="4"/>
  <c r="X76" i="4"/>
  <c r="X78" i="4" s="1"/>
  <c r="X78" i="5" s="1"/>
  <c r="W103" i="4"/>
  <c r="Y21" i="5"/>
  <c r="V109" i="4"/>
  <c r="V88" i="4"/>
  <c r="W109" i="4"/>
  <c r="W88" i="4"/>
  <c r="F95" i="4"/>
  <c r="F101" i="4"/>
  <c r="G89" i="4"/>
  <c r="G107" i="4"/>
  <c r="G92" i="4"/>
  <c r="G101" i="4"/>
  <c r="I101" i="4"/>
  <c r="J95" i="4"/>
  <c r="J101" i="4"/>
  <c r="K101" i="4"/>
  <c r="K98" i="4"/>
  <c r="K95" i="4"/>
  <c r="L98" i="4"/>
  <c r="L89" i="4"/>
  <c r="R107" i="4"/>
  <c r="R101" i="4"/>
  <c r="R92" i="4"/>
  <c r="R95" i="4"/>
  <c r="S92" i="4"/>
  <c r="H107" i="4"/>
  <c r="H101" i="4"/>
  <c r="H92" i="4"/>
  <c r="T98" i="4"/>
  <c r="M95" i="4"/>
  <c r="M92" i="4"/>
  <c r="R89" i="4"/>
  <c r="M107" i="4"/>
  <c r="M89" i="4"/>
  <c r="W73" i="1"/>
  <c r="W97" i="1"/>
  <c r="W97" i="5" s="1"/>
  <c r="V100" i="1"/>
  <c r="V71" i="1"/>
  <c r="X91" i="1"/>
  <c r="X72" i="1"/>
  <c r="X94" i="1"/>
  <c r="V73" i="1"/>
  <c r="X73" i="1"/>
  <c r="W71" i="1"/>
  <c r="V99" i="1"/>
  <c r="V83" i="1"/>
  <c r="V83" i="5" s="1"/>
  <c r="V93" i="1"/>
  <c r="V108" i="1"/>
  <c r="V102" i="1"/>
  <c r="V96" i="1"/>
  <c r="V90" i="1"/>
  <c r="W99" i="1"/>
  <c r="W83" i="1"/>
  <c r="W83" i="5" s="1"/>
  <c r="W93" i="1"/>
  <c r="W108" i="1"/>
  <c r="W102" i="1"/>
  <c r="W96" i="1"/>
  <c r="W90" i="1"/>
  <c r="X98" i="1"/>
  <c r="X82" i="1"/>
  <c r="X82" i="5" s="1"/>
  <c r="X92" i="1"/>
  <c r="X107" i="1"/>
  <c r="X101" i="1"/>
  <c r="X95" i="1"/>
  <c r="X89" i="1"/>
  <c r="V89" i="1"/>
  <c r="V98" i="1"/>
  <c r="V82" i="1"/>
  <c r="V82" i="5" s="1"/>
  <c r="V92" i="1"/>
  <c r="V107" i="1"/>
  <c r="V101" i="1"/>
  <c r="V95" i="1"/>
  <c r="X99" i="1"/>
  <c r="X83" i="1"/>
  <c r="X83" i="5" s="1"/>
  <c r="X93" i="1"/>
  <c r="X108" i="1"/>
  <c r="X102" i="1"/>
  <c r="X96" i="1"/>
  <c r="X90" i="1"/>
  <c r="X71" i="1"/>
  <c r="W84" i="1"/>
  <c r="W100" i="1"/>
  <c r="Y44" i="5"/>
  <c r="V72" i="1"/>
  <c r="X100" i="1"/>
  <c r="W72" i="1"/>
  <c r="V91" i="1"/>
  <c r="V91" i="5" s="1"/>
  <c r="Y68" i="5"/>
  <c r="W91" i="1"/>
  <c r="W91" i="5" s="1"/>
  <c r="Y22" i="5"/>
  <c r="V97" i="1"/>
  <c r="V97" i="5" s="1"/>
  <c r="Y28" i="5"/>
  <c r="W76" i="1"/>
  <c r="X97" i="1"/>
  <c r="V103" i="1"/>
  <c r="Y60" i="5"/>
  <c r="W103" i="1"/>
  <c r="Y27" i="5"/>
  <c r="X103" i="1"/>
  <c r="V109" i="1"/>
  <c r="Y26" i="5"/>
  <c r="W109" i="1"/>
  <c r="Y25" i="5"/>
  <c r="Y66" i="5"/>
  <c r="S71" i="5"/>
  <c r="Y37" i="5"/>
  <c r="Y36" i="5"/>
  <c r="Y29" i="5"/>
  <c r="Y17" i="5"/>
  <c r="K72" i="4"/>
  <c r="H72" i="4"/>
  <c r="Y104" i="4"/>
  <c r="I73" i="4"/>
  <c r="S127" i="4"/>
  <c r="T71" i="4"/>
  <c r="R73" i="4"/>
  <c r="S73" i="4"/>
  <c r="G71" i="4"/>
  <c r="F71" i="4"/>
  <c r="O73" i="4"/>
  <c r="Y85" i="4"/>
  <c r="I71" i="4"/>
  <c r="L72" i="4"/>
  <c r="I72" i="4"/>
  <c r="G73" i="4"/>
  <c r="F73" i="4"/>
  <c r="U127" i="4"/>
  <c r="G108" i="4"/>
  <c r="G96" i="4"/>
  <c r="G90" i="4"/>
  <c r="G83" i="4"/>
  <c r="G102" i="4"/>
  <c r="G93" i="4"/>
  <c r="G99" i="4"/>
  <c r="E122" i="4"/>
  <c r="N73" i="4"/>
  <c r="N71" i="4"/>
  <c r="N72" i="4"/>
  <c r="I108" i="4"/>
  <c r="I99" i="4"/>
  <c r="I96" i="4"/>
  <c r="I90" i="4"/>
  <c r="I83" i="4"/>
  <c r="Q92" i="4"/>
  <c r="Q82" i="4"/>
  <c r="Q89" i="4"/>
  <c r="Q128" i="4"/>
  <c r="Q101" i="4"/>
  <c r="Q95" i="4"/>
  <c r="Y87" i="4"/>
  <c r="O102" i="4"/>
  <c r="O108" i="4"/>
  <c r="O99" i="4"/>
  <c r="O86" i="4"/>
  <c r="Y86" i="4" s="1"/>
  <c r="O90" i="4"/>
  <c r="S98" i="4"/>
  <c r="I102" i="4"/>
  <c r="P103" i="4"/>
  <c r="P97" i="4"/>
  <c r="P109" i="4"/>
  <c r="P88" i="4"/>
  <c r="P91" i="4"/>
  <c r="P94" i="4"/>
  <c r="N102" i="4"/>
  <c r="N96" i="4"/>
  <c r="N108" i="4"/>
  <c r="N99" i="4"/>
  <c r="N90" i="4"/>
  <c r="N83" i="4"/>
  <c r="N93" i="4"/>
  <c r="U101" i="4"/>
  <c r="U82" i="4"/>
  <c r="T95" i="4"/>
  <c r="T101" i="4"/>
  <c r="T107" i="4"/>
  <c r="T92" i="4"/>
  <c r="Q102" i="4"/>
  <c r="Q93" i="4"/>
  <c r="Q83" i="4"/>
  <c r="Q99" i="4"/>
  <c r="Q90" i="4"/>
  <c r="Q108" i="4"/>
  <c r="Q98" i="4"/>
  <c r="R93" i="4"/>
  <c r="R83" i="4"/>
  <c r="R108" i="4"/>
  <c r="R90" i="4"/>
  <c r="R99" i="4"/>
  <c r="R102" i="4"/>
  <c r="U102" i="4"/>
  <c r="U90" i="4"/>
  <c r="U83" i="4"/>
  <c r="U108" i="4"/>
  <c r="U99" i="4"/>
  <c r="U93" i="4"/>
  <c r="U123" i="4"/>
  <c r="M73" i="4"/>
  <c r="M71" i="4"/>
  <c r="M72" i="4"/>
  <c r="T82" i="4"/>
  <c r="R96" i="4"/>
  <c r="I109" i="4"/>
  <c r="I103" i="4"/>
  <c r="I94" i="4"/>
  <c r="I97" i="4"/>
  <c r="I84" i="4"/>
  <c r="O71" i="4"/>
  <c r="O72" i="4"/>
  <c r="E98" i="4"/>
  <c r="E82" i="4"/>
  <c r="U96" i="4"/>
  <c r="U72" i="4"/>
  <c r="U71" i="4"/>
  <c r="S101" i="4"/>
  <c r="S95" i="4"/>
  <c r="S89" i="4"/>
  <c r="Q71" i="4"/>
  <c r="Q72" i="4"/>
  <c r="E73" i="4"/>
  <c r="O93" i="4"/>
  <c r="P100" i="4"/>
  <c r="M90" i="4"/>
  <c r="M108" i="4"/>
  <c r="M96" i="4"/>
  <c r="M99" i="4"/>
  <c r="M83" i="4"/>
  <c r="M93" i="4"/>
  <c r="M102" i="4"/>
  <c r="Q129" i="4"/>
  <c r="E90" i="4"/>
  <c r="Q107" i="4"/>
  <c r="E89" i="4"/>
  <c r="Q15" i="4"/>
  <c r="Q65" i="4" s="1"/>
  <c r="Q91" i="4"/>
  <c r="J72" i="4"/>
  <c r="J71" i="4"/>
  <c r="J73" i="4"/>
  <c r="L71" i="4"/>
  <c r="Y105" i="4"/>
  <c r="Q73" i="4"/>
  <c r="F97" i="4"/>
  <c r="F94" i="4"/>
  <c r="F84" i="4"/>
  <c r="F100" i="4"/>
  <c r="F103" i="4"/>
  <c r="F91" i="4"/>
  <c r="H108" i="4"/>
  <c r="H99" i="4"/>
  <c r="H93" i="4"/>
  <c r="H83" i="4"/>
  <c r="H96" i="4"/>
  <c r="H90" i="4"/>
  <c r="H126" i="4"/>
  <c r="I93" i="4"/>
  <c r="R15" i="4"/>
  <c r="R65" i="4" s="1"/>
  <c r="R91" i="4"/>
  <c r="K73" i="4"/>
  <c r="K71" i="4"/>
  <c r="F130" i="4"/>
  <c r="S107" i="4"/>
  <c r="O96" i="4"/>
  <c r="S82" i="4"/>
  <c r="Q96" i="4"/>
  <c r="H109" i="4"/>
  <c r="H103" i="4"/>
  <c r="H94" i="4"/>
  <c r="H97" i="4"/>
  <c r="H100" i="4"/>
  <c r="P102" i="4"/>
  <c r="P93" i="4"/>
  <c r="P99" i="4"/>
  <c r="P90" i="4"/>
  <c r="P108" i="4"/>
  <c r="P96" i="4"/>
  <c r="L73" i="4"/>
  <c r="H91" i="4"/>
  <c r="H71" i="4"/>
  <c r="J99" i="4"/>
  <c r="J90" i="4"/>
  <c r="J96" i="4"/>
  <c r="P92" i="4"/>
  <c r="P107" i="4"/>
  <c r="P89" i="4"/>
  <c r="G97" i="4"/>
  <c r="G94" i="4"/>
  <c r="G84" i="4"/>
  <c r="F89" i="4"/>
  <c r="G109" i="4"/>
  <c r="E96" i="4"/>
  <c r="E93" i="4"/>
  <c r="E83" i="4"/>
  <c r="N91" i="4"/>
  <c r="P71" i="4"/>
  <c r="F108" i="4"/>
  <c r="F102" i="4"/>
  <c r="O91" i="4"/>
  <c r="O109" i="4"/>
  <c r="F99" i="4"/>
  <c r="E108" i="4"/>
  <c r="U73" i="4"/>
  <c r="I128" i="4"/>
  <c r="I98" i="4"/>
  <c r="I89" i="4"/>
  <c r="I95" i="4"/>
  <c r="T94" i="4"/>
  <c r="T84" i="4"/>
  <c r="T109" i="4"/>
  <c r="O87" i="4"/>
  <c r="I92" i="4"/>
  <c r="J89" i="4"/>
  <c r="U94" i="4"/>
  <c r="U84" i="4"/>
  <c r="U91" i="4"/>
  <c r="J92" i="4"/>
  <c r="F96" i="4"/>
  <c r="T97" i="4"/>
  <c r="J125" i="4"/>
  <c r="K89" i="4"/>
  <c r="K107" i="4"/>
  <c r="K92" i="4"/>
  <c r="U97" i="4"/>
  <c r="P101" i="4"/>
  <c r="L101" i="4"/>
  <c r="L95" i="4"/>
  <c r="L107" i="4"/>
  <c r="I82" i="4"/>
  <c r="L92" i="4"/>
  <c r="R71" i="4"/>
  <c r="R72" i="4"/>
  <c r="T72" i="4"/>
  <c r="E71" i="4"/>
  <c r="E72" i="4"/>
  <c r="G72" i="4"/>
  <c r="J82" i="4"/>
  <c r="N103" i="4"/>
  <c r="I107" i="4"/>
  <c r="S72" i="4"/>
  <c r="F72" i="4"/>
  <c r="S71" i="4"/>
  <c r="E97" i="4"/>
  <c r="Y80" i="4"/>
  <c r="E103" i="4"/>
  <c r="E94" i="4"/>
  <c r="E84" i="4"/>
  <c r="N94" i="4"/>
  <c r="J98" i="4"/>
  <c r="O103" i="4"/>
  <c r="Y106" i="4"/>
  <c r="J107" i="4"/>
  <c r="E109" i="4"/>
  <c r="O89" i="4"/>
  <c r="S91" i="4"/>
  <c r="G95" i="4"/>
  <c r="K97" i="4"/>
  <c r="M98" i="4"/>
  <c r="Q100" i="4"/>
  <c r="H73" i="4"/>
  <c r="H95" i="4"/>
  <c r="L97" i="4"/>
  <c r="N98" i="4"/>
  <c r="R100" i="4"/>
  <c r="M97" i="4"/>
  <c r="O98" i="4"/>
  <c r="S100" i="4"/>
  <c r="F82" i="4"/>
  <c r="J84" i="4"/>
  <c r="F92" i="4"/>
  <c r="J94" i="4"/>
  <c r="R98" i="4"/>
  <c r="R128" i="4"/>
  <c r="T73" i="4"/>
  <c r="N82" i="4"/>
  <c r="R84" i="4"/>
  <c r="H89" i="4"/>
  <c r="L91" i="4"/>
  <c r="N92" i="4"/>
  <c r="R94" i="4"/>
  <c r="F98" i="4"/>
  <c r="J100" i="4"/>
  <c r="S84" i="4"/>
  <c r="M91" i="4"/>
  <c r="S94" i="4"/>
  <c r="G98" i="4"/>
  <c r="H98" i="4"/>
  <c r="F107" i="4"/>
  <c r="J109" i="4"/>
  <c r="F102" i="1"/>
  <c r="E11" i="1"/>
  <c r="Y40" i="1"/>
  <c r="Y42" i="1"/>
  <c r="F104" i="1"/>
  <c r="F104" i="5" s="1"/>
  <c r="G104" i="1"/>
  <c r="G104" i="5" s="1"/>
  <c r="H104" i="1"/>
  <c r="H104" i="5" s="1"/>
  <c r="I104" i="1"/>
  <c r="I104" i="5" s="1"/>
  <c r="J104" i="1"/>
  <c r="J104" i="5" s="1"/>
  <c r="K104" i="1"/>
  <c r="K104" i="5" s="1"/>
  <c r="L104" i="1"/>
  <c r="L104" i="5" s="1"/>
  <c r="M104" i="1"/>
  <c r="M104" i="5" s="1"/>
  <c r="N104" i="1"/>
  <c r="N104" i="5" s="1"/>
  <c r="O104" i="1"/>
  <c r="O104" i="5" s="1"/>
  <c r="P104" i="1"/>
  <c r="P104" i="5" s="1"/>
  <c r="Q104" i="1"/>
  <c r="Q104" i="5" s="1"/>
  <c r="R104" i="1"/>
  <c r="R104" i="5" s="1"/>
  <c r="S104" i="1"/>
  <c r="S104" i="5" s="1"/>
  <c r="T104" i="1"/>
  <c r="T104" i="5" s="1"/>
  <c r="U104" i="1"/>
  <c r="U104" i="5" s="1"/>
  <c r="F105" i="1"/>
  <c r="F105" i="5" s="1"/>
  <c r="G105" i="1"/>
  <c r="G105" i="5" s="1"/>
  <c r="H105" i="1"/>
  <c r="H105" i="5" s="1"/>
  <c r="I105" i="1"/>
  <c r="I105" i="5" s="1"/>
  <c r="J105" i="1"/>
  <c r="J105" i="5" s="1"/>
  <c r="K105" i="1"/>
  <c r="K105" i="5" s="1"/>
  <c r="L105" i="1"/>
  <c r="L105" i="5" s="1"/>
  <c r="M105" i="1"/>
  <c r="M105" i="5" s="1"/>
  <c r="N105" i="1"/>
  <c r="N105" i="5" s="1"/>
  <c r="O105" i="1"/>
  <c r="O105" i="5" s="1"/>
  <c r="P105" i="1"/>
  <c r="P105" i="5" s="1"/>
  <c r="Q105" i="1"/>
  <c r="Q105" i="5" s="1"/>
  <c r="R105" i="1"/>
  <c r="R105" i="5" s="1"/>
  <c r="S105" i="1"/>
  <c r="S105" i="5" s="1"/>
  <c r="T105" i="1"/>
  <c r="T105" i="5" s="1"/>
  <c r="U105" i="1"/>
  <c r="U105" i="5" s="1"/>
  <c r="F106" i="1"/>
  <c r="F106" i="5" s="1"/>
  <c r="G106" i="1"/>
  <c r="G106" i="5" s="1"/>
  <c r="H106" i="1"/>
  <c r="H106" i="5" s="1"/>
  <c r="I106" i="1"/>
  <c r="I106" i="5" s="1"/>
  <c r="J106" i="1"/>
  <c r="J106" i="5" s="1"/>
  <c r="K106" i="1"/>
  <c r="K106" i="5" s="1"/>
  <c r="L106" i="1"/>
  <c r="L106" i="5" s="1"/>
  <c r="M106" i="1"/>
  <c r="M106" i="5" s="1"/>
  <c r="N106" i="1"/>
  <c r="N106" i="5" s="1"/>
  <c r="O106" i="1"/>
  <c r="O106" i="5" s="1"/>
  <c r="P106" i="1"/>
  <c r="P106" i="5" s="1"/>
  <c r="Q106" i="1"/>
  <c r="Q106" i="5" s="1"/>
  <c r="R106" i="1"/>
  <c r="R106" i="5" s="1"/>
  <c r="S106" i="1"/>
  <c r="S106" i="5" s="1"/>
  <c r="T106" i="1"/>
  <c r="T106" i="5" s="1"/>
  <c r="U106" i="1"/>
  <c r="U106" i="5" s="1"/>
  <c r="E106" i="1"/>
  <c r="E106" i="5" s="1"/>
  <c r="E105" i="1"/>
  <c r="E105" i="5" s="1"/>
  <c r="E104" i="1"/>
  <c r="E104" i="5" s="1"/>
  <c r="F14" i="1"/>
  <c r="F15" i="1" s="1"/>
  <c r="F65" i="1" s="1"/>
  <c r="G14" i="1"/>
  <c r="G15" i="1" s="1"/>
  <c r="G65" i="1" s="1"/>
  <c r="G65" i="5" s="1"/>
  <c r="H14" i="1"/>
  <c r="H15" i="1" s="1"/>
  <c r="H65" i="1" s="1"/>
  <c r="H65" i="5" s="1"/>
  <c r="I14" i="1"/>
  <c r="J14" i="1"/>
  <c r="J15" i="1" s="1"/>
  <c r="J65" i="1" s="1"/>
  <c r="J65" i="5" s="1"/>
  <c r="K14" i="1"/>
  <c r="K15" i="1" s="1"/>
  <c r="K65" i="1" s="1"/>
  <c r="K65" i="5" s="1"/>
  <c r="L14" i="1"/>
  <c r="L15" i="1" s="1"/>
  <c r="L65" i="1" s="1"/>
  <c r="L65" i="5" s="1"/>
  <c r="M14" i="1"/>
  <c r="M15" i="1" s="1"/>
  <c r="M65" i="1" s="1"/>
  <c r="M65" i="5" s="1"/>
  <c r="N14" i="1"/>
  <c r="N15" i="1" s="1"/>
  <c r="N65" i="1" s="1"/>
  <c r="N65" i="5" s="1"/>
  <c r="O14" i="1"/>
  <c r="O15" i="1" s="1"/>
  <c r="O65" i="1" s="1"/>
  <c r="O65" i="5" s="1"/>
  <c r="P14" i="1"/>
  <c r="P15" i="1" s="1"/>
  <c r="P65" i="1" s="1"/>
  <c r="P65" i="5" s="1"/>
  <c r="Q14" i="1"/>
  <c r="Q15" i="1" s="1"/>
  <c r="Q65" i="1" s="1"/>
  <c r="R14" i="1"/>
  <c r="R15" i="1" s="1"/>
  <c r="R65" i="1" s="1"/>
  <c r="S14" i="1"/>
  <c r="S15" i="1" s="1"/>
  <c r="S65" i="1" s="1"/>
  <c r="S65" i="5" s="1"/>
  <c r="T14" i="1"/>
  <c r="T15" i="1" s="1"/>
  <c r="T65" i="1" s="1"/>
  <c r="T65" i="5" s="1"/>
  <c r="U14" i="1"/>
  <c r="U15" i="1" s="1"/>
  <c r="U65" i="1" s="1"/>
  <c r="U65" i="5" s="1"/>
  <c r="E14" i="1"/>
  <c r="E15" i="1" s="1"/>
  <c r="F82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F81" i="1"/>
  <c r="F81" i="5" s="1"/>
  <c r="G81" i="1"/>
  <c r="G81" i="5" s="1"/>
  <c r="H81" i="1"/>
  <c r="H81" i="5" s="1"/>
  <c r="I81" i="1"/>
  <c r="I81" i="5" s="1"/>
  <c r="J81" i="1"/>
  <c r="J81" i="5" s="1"/>
  <c r="K81" i="1"/>
  <c r="K81" i="5" s="1"/>
  <c r="L81" i="1"/>
  <c r="L81" i="5" s="1"/>
  <c r="M81" i="1"/>
  <c r="M81" i="5" s="1"/>
  <c r="N81" i="1"/>
  <c r="N81" i="5" s="1"/>
  <c r="O81" i="1"/>
  <c r="O81" i="5" s="1"/>
  <c r="P81" i="1"/>
  <c r="P81" i="5" s="1"/>
  <c r="Q81" i="1"/>
  <c r="Q81" i="5" s="1"/>
  <c r="R81" i="1"/>
  <c r="R81" i="5" s="1"/>
  <c r="S81" i="1"/>
  <c r="S81" i="5" s="1"/>
  <c r="T81" i="1"/>
  <c r="T81" i="5" s="1"/>
  <c r="U81" i="1"/>
  <c r="U81" i="5" s="1"/>
  <c r="O82" i="1"/>
  <c r="O82" i="5" s="1"/>
  <c r="P82" i="1"/>
  <c r="P82" i="5" s="1"/>
  <c r="O83" i="1"/>
  <c r="O83" i="5" s="1"/>
  <c r="P83" i="1"/>
  <c r="P83" i="5" s="1"/>
  <c r="O84" i="1"/>
  <c r="O84" i="5" s="1"/>
  <c r="P84" i="1"/>
  <c r="P84" i="5" s="1"/>
  <c r="F85" i="1"/>
  <c r="F85" i="5" s="1"/>
  <c r="G85" i="1"/>
  <c r="G85" i="5" s="1"/>
  <c r="H85" i="1"/>
  <c r="H85" i="5" s="1"/>
  <c r="I85" i="1"/>
  <c r="I85" i="5" s="1"/>
  <c r="J85" i="1"/>
  <c r="J85" i="5" s="1"/>
  <c r="K85" i="1"/>
  <c r="K85" i="5" s="1"/>
  <c r="L85" i="1"/>
  <c r="L85" i="5" s="1"/>
  <c r="M85" i="1"/>
  <c r="M85" i="5" s="1"/>
  <c r="N85" i="1"/>
  <c r="N85" i="5" s="1"/>
  <c r="P85" i="1"/>
  <c r="P85" i="5" s="1"/>
  <c r="Q85" i="1"/>
  <c r="Q85" i="5" s="1"/>
  <c r="R85" i="1"/>
  <c r="R85" i="5" s="1"/>
  <c r="S85" i="1"/>
  <c r="S85" i="5" s="1"/>
  <c r="T85" i="1"/>
  <c r="T85" i="5" s="1"/>
  <c r="U85" i="1"/>
  <c r="U85" i="5" s="1"/>
  <c r="F86" i="1"/>
  <c r="F86" i="5" s="1"/>
  <c r="G86" i="1"/>
  <c r="G86" i="5" s="1"/>
  <c r="H86" i="1"/>
  <c r="H86" i="5" s="1"/>
  <c r="I86" i="1"/>
  <c r="I86" i="5" s="1"/>
  <c r="J86" i="1"/>
  <c r="J86" i="5" s="1"/>
  <c r="K86" i="1"/>
  <c r="K86" i="5" s="1"/>
  <c r="L86" i="1"/>
  <c r="L86" i="5" s="1"/>
  <c r="M86" i="1"/>
  <c r="M86" i="5" s="1"/>
  <c r="N86" i="1"/>
  <c r="N86" i="5" s="1"/>
  <c r="P86" i="1"/>
  <c r="P86" i="5" s="1"/>
  <c r="Q86" i="1"/>
  <c r="Q86" i="5" s="1"/>
  <c r="R86" i="1"/>
  <c r="R86" i="5" s="1"/>
  <c r="S86" i="1"/>
  <c r="S86" i="5" s="1"/>
  <c r="T86" i="1"/>
  <c r="T86" i="5" s="1"/>
  <c r="U86" i="1"/>
  <c r="U86" i="5" s="1"/>
  <c r="F87" i="1"/>
  <c r="F87" i="5" s="1"/>
  <c r="G87" i="1"/>
  <c r="G87" i="5" s="1"/>
  <c r="H87" i="1"/>
  <c r="H87" i="5" s="1"/>
  <c r="I87" i="1"/>
  <c r="I87" i="5" s="1"/>
  <c r="J87" i="1"/>
  <c r="J87" i="5" s="1"/>
  <c r="K87" i="1"/>
  <c r="K87" i="5" s="1"/>
  <c r="L87" i="1"/>
  <c r="L87" i="5" s="1"/>
  <c r="M87" i="1"/>
  <c r="M87" i="5" s="1"/>
  <c r="N87" i="1"/>
  <c r="N87" i="5" s="1"/>
  <c r="P87" i="1"/>
  <c r="P87" i="5" s="1"/>
  <c r="Q87" i="1"/>
  <c r="Q87" i="5" s="1"/>
  <c r="R87" i="1"/>
  <c r="R87" i="5" s="1"/>
  <c r="S87" i="1"/>
  <c r="S87" i="5" s="1"/>
  <c r="T87" i="1"/>
  <c r="T87" i="5" s="1"/>
  <c r="U87" i="1"/>
  <c r="U87" i="5" s="1"/>
  <c r="F88" i="1"/>
  <c r="F88" i="5" s="1"/>
  <c r="G88" i="1"/>
  <c r="G88" i="5" s="1"/>
  <c r="H88" i="1"/>
  <c r="H88" i="5" s="1"/>
  <c r="I88" i="1"/>
  <c r="I88" i="5" s="1"/>
  <c r="J88" i="1"/>
  <c r="J88" i="5" s="1"/>
  <c r="K88" i="1"/>
  <c r="K88" i="5" s="1"/>
  <c r="L88" i="1"/>
  <c r="L88" i="5" s="1"/>
  <c r="M88" i="1"/>
  <c r="M88" i="5" s="1"/>
  <c r="N88" i="1"/>
  <c r="N88" i="5" s="1"/>
  <c r="O88" i="1"/>
  <c r="O88" i="5" s="1"/>
  <c r="Q88" i="1"/>
  <c r="Q88" i="5" s="1"/>
  <c r="R88" i="1"/>
  <c r="R88" i="5" s="1"/>
  <c r="S88" i="1"/>
  <c r="S88" i="5" s="1"/>
  <c r="T88" i="1"/>
  <c r="T88" i="5" s="1"/>
  <c r="U88" i="1"/>
  <c r="U88" i="5" s="1"/>
  <c r="E81" i="1"/>
  <c r="E80" i="1"/>
  <c r="Y24" i="1"/>
  <c r="Y25" i="1"/>
  <c r="Y26" i="1"/>
  <c r="Y27" i="1"/>
  <c r="E88" i="1"/>
  <c r="E88" i="5" s="1"/>
  <c r="E86" i="1"/>
  <c r="E86" i="5" s="1"/>
  <c r="E87" i="1"/>
  <c r="E87" i="5" s="1"/>
  <c r="E85" i="1"/>
  <c r="E85" i="5" s="1"/>
  <c r="Y60" i="1"/>
  <c r="Y58" i="1"/>
  <c r="Y44" i="1"/>
  <c r="Y38" i="1"/>
  <c r="Y37" i="1"/>
  <c r="Y36" i="1"/>
  <c r="Y68" i="1"/>
  <c r="Y66" i="1"/>
  <c r="Y64" i="1"/>
  <c r="Y62" i="1"/>
  <c r="Y56" i="1"/>
  <c r="Y54" i="1"/>
  <c r="Y52" i="1"/>
  <c r="Y50" i="1"/>
  <c r="Y48" i="1"/>
  <c r="Y46" i="1"/>
  <c r="Y29" i="1"/>
  <c r="Y28" i="1"/>
  <c r="Y23" i="1"/>
  <c r="Y22" i="1"/>
  <c r="Y21" i="1"/>
  <c r="Y20" i="1"/>
  <c r="Y19" i="1"/>
  <c r="Y18" i="1"/>
  <c r="G125" i="4" l="1"/>
  <c r="Q121" i="4"/>
  <c r="E126" i="4"/>
  <c r="T127" i="4"/>
  <c r="N71" i="5"/>
  <c r="R65" i="5"/>
  <c r="N73" i="5"/>
  <c r="G122" i="4"/>
  <c r="F65" i="5"/>
  <c r="X115" i="4"/>
  <c r="T128" i="4"/>
  <c r="Q73" i="5"/>
  <c r="Y65" i="4"/>
  <c r="W135" i="4"/>
  <c r="X97" i="5"/>
  <c r="E123" i="4"/>
  <c r="F123" i="4"/>
  <c r="G128" i="4"/>
  <c r="E128" i="4"/>
  <c r="E101" i="4"/>
  <c r="E92" i="4"/>
  <c r="E125" i="4"/>
  <c r="O111" i="4"/>
  <c r="E120" i="4"/>
  <c r="E95" i="4"/>
  <c r="V78" i="4"/>
  <c r="V78" i="5" s="1"/>
  <c r="V76" i="5"/>
  <c r="X99" i="5"/>
  <c r="W96" i="5"/>
  <c r="V101" i="5"/>
  <c r="W108" i="5"/>
  <c r="V107" i="5"/>
  <c r="V92" i="5"/>
  <c r="V108" i="5"/>
  <c r="E109" i="1"/>
  <c r="E109" i="5" s="1"/>
  <c r="E80" i="5"/>
  <c r="E76" i="1"/>
  <c r="E77" i="1"/>
  <c r="E77" i="5" s="1"/>
  <c r="E79" i="1"/>
  <c r="E79" i="5" s="1"/>
  <c r="X90" i="5"/>
  <c r="X91" i="5"/>
  <c r="W131" i="4"/>
  <c r="F102" i="5"/>
  <c r="H124" i="4"/>
  <c r="Y53" i="5"/>
  <c r="Y59" i="5"/>
  <c r="K72" i="5"/>
  <c r="T72" i="5"/>
  <c r="Y67" i="5"/>
  <c r="O71" i="5"/>
  <c r="W112" i="4"/>
  <c r="Y71" i="4"/>
  <c r="U92" i="4"/>
  <c r="O72" i="5"/>
  <c r="H72" i="5"/>
  <c r="K71" i="5"/>
  <c r="M71" i="5"/>
  <c r="G71" i="5"/>
  <c r="Y55" i="5"/>
  <c r="Y49" i="5"/>
  <c r="K73" i="5"/>
  <c r="G73" i="5"/>
  <c r="Y43" i="5"/>
  <c r="N72" i="5"/>
  <c r="I73" i="5"/>
  <c r="M72" i="5"/>
  <c r="Y63" i="5"/>
  <c r="F71" i="5"/>
  <c r="I71" i="5"/>
  <c r="Y81" i="5"/>
  <c r="H97" i="1"/>
  <c r="H97" i="5" s="1"/>
  <c r="H80" i="5"/>
  <c r="I72" i="5"/>
  <c r="Y57" i="5"/>
  <c r="Y61" i="5"/>
  <c r="G97" i="1"/>
  <c r="G97" i="5" s="1"/>
  <c r="G80" i="5"/>
  <c r="Y51" i="5"/>
  <c r="J103" i="1"/>
  <c r="J103" i="5" s="1"/>
  <c r="J80" i="5"/>
  <c r="T103" i="1"/>
  <c r="T103" i="5" s="1"/>
  <c r="T80" i="5"/>
  <c r="J71" i="5"/>
  <c r="S84" i="1"/>
  <c r="S84" i="5" s="1"/>
  <c r="S80" i="5"/>
  <c r="L73" i="5"/>
  <c r="R100" i="1"/>
  <c r="R100" i="5" s="1"/>
  <c r="R80" i="5"/>
  <c r="U71" i="5"/>
  <c r="Q94" i="1"/>
  <c r="Q94" i="5" s="1"/>
  <c r="Q80" i="5"/>
  <c r="P97" i="1"/>
  <c r="P97" i="5" s="1"/>
  <c r="P80" i="5"/>
  <c r="L71" i="5"/>
  <c r="O109" i="1"/>
  <c r="O109" i="5" s="1"/>
  <c r="O80" i="5"/>
  <c r="L103" i="1"/>
  <c r="L103" i="5" s="1"/>
  <c r="L80" i="5"/>
  <c r="N84" i="1"/>
  <c r="N84" i="5" s="1"/>
  <c r="N80" i="5"/>
  <c r="M84" i="1"/>
  <c r="M84" i="5" s="1"/>
  <c r="M80" i="5"/>
  <c r="K103" i="1"/>
  <c r="K103" i="5" s="1"/>
  <c r="K80" i="5"/>
  <c r="Y45" i="5"/>
  <c r="I109" i="1"/>
  <c r="I109" i="5" s="1"/>
  <c r="I80" i="5"/>
  <c r="K76" i="1"/>
  <c r="K77" i="1"/>
  <c r="K77" i="5" s="1"/>
  <c r="K79" i="1"/>
  <c r="K79" i="5" s="1"/>
  <c r="J77" i="1"/>
  <c r="J77" i="5" s="1"/>
  <c r="J79" i="1"/>
  <c r="J79" i="5" s="1"/>
  <c r="I76" i="1"/>
  <c r="I77" i="1"/>
  <c r="I77" i="5" s="1"/>
  <c r="I79" i="1"/>
  <c r="I79" i="5" s="1"/>
  <c r="L76" i="1"/>
  <c r="L77" i="1"/>
  <c r="L77" i="5" s="1"/>
  <c r="L79" i="1"/>
  <c r="L79" i="5" s="1"/>
  <c r="H77" i="1"/>
  <c r="H77" i="5" s="1"/>
  <c r="H79" i="1"/>
  <c r="H79" i="5" s="1"/>
  <c r="G77" i="1"/>
  <c r="G77" i="5" s="1"/>
  <c r="G79" i="1"/>
  <c r="G79" i="5" s="1"/>
  <c r="U76" i="1"/>
  <c r="U76" i="5" s="1"/>
  <c r="U77" i="1"/>
  <c r="U79" i="1"/>
  <c r="T76" i="1"/>
  <c r="T77" i="1"/>
  <c r="T77" i="5" s="1"/>
  <c r="T79" i="1"/>
  <c r="T79" i="5" s="1"/>
  <c r="S77" i="1"/>
  <c r="S77" i="5" s="1"/>
  <c r="S79" i="1"/>
  <c r="S79" i="5" s="1"/>
  <c r="R77" i="1"/>
  <c r="R77" i="5" s="1"/>
  <c r="R79" i="1"/>
  <c r="R102" i="1" s="1"/>
  <c r="R102" i="5" s="1"/>
  <c r="Q77" i="1"/>
  <c r="Q77" i="5" s="1"/>
  <c r="Q79" i="1"/>
  <c r="Q79" i="5" s="1"/>
  <c r="P79" i="1"/>
  <c r="P79" i="5" s="1"/>
  <c r="P77" i="1"/>
  <c r="P77" i="5" s="1"/>
  <c r="O93" i="1"/>
  <c r="O93" i="5" s="1"/>
  <c r="O79" i="1"/>
  <c r="O79" i="5" s="1"/>
  <c r="O77" i="1"/>
  <c r="O77" i="5" s="1"/>
  <c r="N79" i="1"/>
  <c r="N79" i="5" s="1"/>
  <c r="N77" i="1"/>
  <c r="N77" i="5" s="1"/>
  <c r="M76" i="1"/>
  <c r="M79" i="1"/>
  <c r="M79" i="5" s="1"/>
  <c r="M77" i="1"/>
  <c r="M77" i="5" s="1"/>
  <c r="W78" i="1"/>
  <c r="W78" i="5" s="1"/>
  <c r="W76" i="5"/>
  <c r="F82" i="5"/>
  <c r="F109" i="1"/>
  <c r="F109" i="5" s="1"/>
  <c r="F80" i="5"/>
  <c r="Y47" i="5"/>
  <c r="J72" i="5"/>
  <c r="T5" i="4"/>
  <c r="X71" i="5"/>
  <c r="X72" i="5"/>
  <c r="Q65" i="5"/>
  <c r="U72" i="5"/>
  <c r="Y73" i="4"/>
  <c r="Y41" i="5"/>
  <c r="Y72" i="4"/>
  <c r="E73" i="5"/>
  <c r="Y78" i="4"/>
  <c r="Y103" i="4"/>
  <c r="Y100" i="4"/>
  <c r="Y106" i="5"/>
  <c r="R127" i="4"/>
  <c r="X116" i="4"/>
  <c r="T132" i="4"/>
  <c r="V132" i="4"/>
  <c r="U107" i="4"/>
  <c r="N120" i="4"/>
  <c r="W126" i="4"/>
  <c r="W99" i="4"/>
  <c r="W99" i="5" s="1"/>
  <c r="W93" i="4"/>
  <c r="W93" i="5" s="1"/>
  <c r="W130" i="4"/>
  <c r="W114" i="4"/>
  <c r="W108" i="4"/>
  <c r="W121" i="4"/>
  <c r="W134" i="4"/>
  <c r="W118" i="4"/>
  <c r="W102" i="4"/>
  <c r="W102" i="5" s="1"/>
  <c r="W123" i="4"/>
  <c r="W96" i="4"/>
  <c r="W90" i="4"/>
  <c r="W90" i="5" s="1"/>
  <c r="W111" i="4"/>
  <c r="I125" i="4"/>
  <c r="X127" i="4"/>
  <c r="S125" i="4"/>
  <c r="Y76" i="4"/>
  <c r="E110" i="4"/>
  <c r="U89" i="4"/>
  <c r="J122" i="4"/>
  <c r="X124" i="4"/>
  <c r="X112" i="4"/>
  <c r="Q125" i="4"/>
  <c r="P118" i="4"/>
  <c r="X119" i="4"/>
  <c r="U98" i="4"/>
  <c r="G120" i="4"/>
  <c r="W119" i="4"/>
  <c r="W115" i="4"/>
  <c r="W124" i="4"/>
  <c r="V112" i="4"/>
  <c r="V127" i="4"/>
  <c r="H128" i="4"/>
  <c r="P121" i="4"/>
  <c r="V131" i="4"/>
  <c r="V119" i="4"/>
  <c r="O134" i="4"/>
  <c r="X135" i="4"/>
  <c r="F127" i="4"/>
  <c r="M126" i="4"/>
  <c r="O123" i="4"/>
  <c r="I121" i="4"/>
  <c r="V115" i="4"/>
  <c r="F116" i="4"/>
  <c r="V116" i="4"/>
  <c r="X110" i="4"/>
  <c r="X120" i="4"/>
  <c r="X125" i="4"/>
  <c r="X98" i="4"/>
  <c r="X98" i="5" s="1"/>
  <c r="X92" i="4"/>
  <c r="X92" i="5" s="1"/>
  <c r="X129" i="4"/>
  <c r="X113" i="4"/>
  <c r="X107" i="4"/>
  <c r="X107" i="5" s="1"/>
  <c r="X128" i="4"/>
  <c r="X133" i="4"/>
  <c r="X117" i="4"/>
  <c r="X101" i="4"/>
  <c r="X101" i="5" s="1"/>
  <c r="X95" i="4"/>
  <c r="X89" i="4"/>
  <c r="X89" i="5" s="1"/>
  <c r="K125" i="4"/>
  <c r="N123" i="4"/>
  <c r="V121" i="4"/>
  <c r="V126" i="4"/>
  <c r="V99" i="4"/>
  <c r="V99" i="5" s="1"/>
  <c r="V93" i="4"/>
  <c r="V93" i="5" s="1"/>
  <c r="V130" i="4"/>
  <c r="V114" i="4"/>
  <c r="V108" i="4"/>
  <c r="V134" i="4"/>
  <c r="V118" i="4"/>
  <c r="V102" i="4"/>
  <c r="V102" i="5" s="1"/>
  <c r="V123" i="4"/>
  <c r="V96" i="4"/>
  <c r="V96" i="5" s="1"/>
  <c r="V90" i="4"/>
  <c r="V90" i="5" s="1"/>
  <c r="V111" i="4"/>
  <c r="Q126" i="4"/>
  <c r="O128" i="4"/>
  <c r="P123" i="4"/>
  <c r="M123" i="4"/>
  <c r="Q123" i="4"/>
  <c r="F126" i="4"/>
  <c r="W110" i="4"/>
  <c r="W120" i="4"/>
  <c r="W125" i="4"/>
  <c r="W98" i="4"/>
  <c r="W92" i="4"/>
  <c r="W129" i="4"/>
  <c r="W113" i="4"/>
  <c r="W89" i="4"/>
  <c r="W107" i="4"/>
  <c r="W128" i="4"/>
  <c r="W133" i="4"/>
  <c r="W117" i="4"/>
  <c r="W101" i="4"/>
  <c r="W95" i="4"/>
  <c r="X99" i="4"/>
  <c r="X93" i="4"/>
  <c r="X93" i="5" s="1"/>
  <c r="X130" i="4"/>
  <c r="X114" i="4"/>
  <c r="X126" i="4"/>
  <c r="X108" i="4"/>
  <c r="X108" i="5" s="1"/>
  <c r="X134" i="4"/>
  <c r="X118" i="4"/>
  <c r="X102" i="4"/>
  <c r="X102" i="5" s="1"/>
  <c r="X123" i="4"/>
  <c r="X96" i="4"/>
  <c r="X96" i="5" s="1"/>
  <c r="X90" i="4"/>
  <c r="X111" i="4"/>
  <c r="X121" i="4"/>
  <c r="P126" i="4"/>
  <c r="O120" i="4"/>
  <c r="X122" i="4"/>
  <c r="V89" i="4"/>
  <c r="V89" i="5" s="1"/>
  <c r="V110" i="4"/>
  <c r="V120" i="4"/>
  <c r="V125" i="4"/>
  <c r="V98" i="4"/>
  <c r="V98" i="5" s="1"/>
  <c r="V92" i="4"/>
  <c r="V129" i="4"/>
  <c r="V113" i="4"/>
  <c r="V107" i="4"/>
  <c r="V128" i="4"/>
  <c r="V133" i="4"/>
  <c r="V117" i="4"/>
  <c r="V101" i="4"/>
  <c r="V95" i="4"/>
  <c r="V95" i="5" s="1"/>
  <c r="W127" i="4"/>
  <c r="X131" i="4"/>
  <c r="K110" i="4"/>
  <c r="M121" i="4"/>
  <c r="R125" i="4"/>
  <c r="V122" i="4"/>
  <c r="Y105" i="5"/>
  <c r="W82" i="1"/>
  <c r="W82" i="5" s="1"/>
  <c r="Y104" i="5"/>
  <c r="U100" i="1"/>
  <c r="U100" i="5" s="1"/>
  <c r="U80" i="5"/>
  <c r="E72" i="5"/>
  <c r="Y69" i="5"/>
  <c r="F73" i="5"/>
  <c r="Q72" i="5"/>
  <c r="T73" i="5"/>
  <c r="E71" i="5"/>
  <c r="R73" i="5"/>
  <c r="J73" i="5"/>
  <c r="G72" i="5"/>
  <c r="H71" i="5"/>
  <c r="H73" i="5"/>
  <c r="P71" i="5"/>
  <c r="R72" i="5"/>
  <c r="T71" i="5"/>
  <c r="P72" i="5"/>
  <c r="L72" i="5"/>
  <c r="U73" i="5"/>
  <c r="R71" i="5"/>
  <c r="S73" i="5"/>
  <c r="F72" i="5"/>
  <c r="Q71" i="5"/>
  <c r="M122" i="4"/>
  <c r="P127" i="4"/>
  <c r="R122" i="4"/>
  <c r="O127" i="4"/>
  <c r="G127" i="4"/>
  <c r="U120" i="4"/>
  <c r="S122" i="4"/>
  <c r="Q127" i="4"/>
  <c r="P120" i="4"/>
  <c r="U131" i="4"/>
  <c r="U128" i="4"/>
  <c r="M120" i="4"/>
  <c r="F125" i="4"/>
  <c r="E121" i="4"/>
  <c r="P125" i="4"/>
  <c r="L125" i="4"/>
  <c r="O132" i="4"/>
  <c r="H112" i="4"/>
  <c r="Q122" i="4"/>
  <c r="J127" i="4"/>
  <c r="R120" i="4"/>
  <c r="L122" i="4"/>
  <c r="O126" i="4"/>
  <c r="G126" i="4"/>
  <c r="O125" i="4"/>
  <c r="K127" i="4"/>
  <c r="E127" i="4"/>
  <c r="L120" i="4"/>
  <c r="J110" i="4"/>
  <c r="I123" i="4"/>
  <c r="G131" i="4"/>
  <c r="J121" i="4"/>
  <c r="R126" i="4"/>
  <c r="N126" i="4"/>
  <c r="O121" i="4"/>
  <c r="K128" i="4"/>
  <c r="U115" i="4"/>
  <c r="U124" i="4"/>
  <c r="J120" i="4"/>
  <c r="J128" i="4"/>
  <c r="F128" i="4"/>
  <c r="N128" i="4"/>
  <c r="N127" i="4"/>
  <c r="K120" i="4"/>
  <c r="H127" i="4"/>
  <c r="S128" i="4"/>
  <c r="I127" i="4"/>
  <c r="P128" i="4"/>
  <c r="E130" i="4"/>
  <c r="O122" i="4"/>
  <c r="I126" i="4"/>
  <c r="L128" i="4"/>
  <c r="J123" i="4"/>
  <c r="H123" i="4"/>
  <c r="L127" i="4"/>
  <c r="J126" i="4"/>
  <c r="R130" i="4"/>
  <c r="T125" i="4"/>
  <c r="N121" i="4"/>
  <c r="G123" i="4"/>
  <c r="H125" i="4"/>
  <c r="H122" i="4"/>
  <c r="F120" i="4"/>
  <c r="G121" i="4"/>
  <c r="L124" i="4"/>
  <c r="R124" i="4"/>
  <c r="N131" i="4"/>
  <c r="M124" i="4"/>
  <c r="Q124" i="4"/>
  <c r="F131" i="4"/>
  <c r="U133" i="4"/>
  <c r="N135" i="4"/>
  <c r="O112" i="4"/>
  <c r="Q131" i="4"/>
  <c r="U117" i="4"/>
  <c r="H120" i="4"/>
  <c r="H116" i="4"/>
  <c r="J131" i="4"/>
  <c r="J124" i="4"/>
  <c r="E131" i="4"/>
  <c r="G116" i="4"/>
  <c r="F121" i="4"/>
  <c r="K131" i="4"/>
  <c r="E124" i="4"/>
  <c r="F124" i="4"/>
  <c r="R131" i="4"/>
  <c r="M131" i="4"/>
  <c r="T115" i="4"/>
  <c r="O131" i="4"/>
  <c r="F112" i="4"/>
  <c r="S120" i="4"/>
  <c r="P122" i="4"/>
  <c r="Q120" i="4"/>
  <c r="I120" i="4"/>
  <c r="M125" i="4"/>
  <c r="S131" i="4"/>
  <c r="T131" i="4"/>
  <c r="I131" i="4"/>
  <c r="F134" i="4"/>
  <c r="F122" i="4"/>
  <c r="U121" i="4"/>
  <c r="U125" i="4"/>
  <c r="I122" i="4"/>
  <c r="N125" i="4"/>
  <c r="E111" i="4"/>
  <c r="G124" i="4"/>
  <c r="I132" i="4"/>
  <c r="U122" i="4"/>
  <c r="T124" i="4"/>
  <c r="P131" i="4"/>
  <c r="K122" i="4"/>
  <c r="E116" i="4"/>
  <c r="U132" i="4"/>
  <c r="I111" i="4"/>
  <c r="T120" i="4"/>
  <c r="T122" i="4"/>
  <c r="H111" i="4"/>
  <c r="L131" i="4"/>
  <c r="M127" i="4"/>
  <c r="N122" i="4"/>
  <c r="H121" i="4"/>
  <c r="P124" i="4"/>
  <c r="I116" i="4"/>
  <c r="R121" i="4"/>
  <c r="N130" i="4"/>
  <c r="K124" i="4"/>
  <c r="T135" i="4"/>
  <c r="U110" i="4"/>
  <c r="U111" i="4"/>
  <c r="N111" i="4"/>
  <c r="I134" i="4"/>
  <c r="G134" i="4"/>
  <c r="O129" i="4"/>
  <c r="U135" i="4"/>
  <c r="I135" i="4"/>
  <c r="G118" i="4"/>
  <c r="F119" i="4"/>
  <c r="I119" i="4"/>
  <c r="I129" i="4"/>
  <c r="F118" i="4"/>
  <c r="G135" i="4"/>
  <c r="O135" i="4"/>
  <c r="H135" i="4"/>
  <c r="M134" i="4"/>
  <c r="Q118" i="4"/>
  <c r="I118" i="4"/>
  <c r="E133" i="4"/>
  <c r="T133" i="4"/>
  <c r="P112" i="4"/>
  <c r="I110" i="4"/>
  <c r="E134" i="4"/>
  <c r="P129" i="4"/>
  <c r="P134" i="4"/>
  <c r="T129" i="4"/>
  <c r="Q110" i="4"/>
  <c r="H129" i="4"/>
  <c r="U119" i="4"/>
  <c r="S117" i="4"/>
  <c r="S110" i="4"/>
  <c r="J129" i="4"/>
  <c r="S133" i="4"/>
  <c r="T117" i="4"/>
  <c r="N119" i="4"/>
  <c r="E114" i="4"/>
  <c r="H118" i="4"/>
  <c r="R113" i="4"/>
  <c r="J116" i="4"/>
  <c r="L110" i="4"/>
  <c r="R133" i="4"/>
  <c r="I124" i="4"/>
  <c r="P135" i="4"/>
  <c r="H119" i="4"/>
  <c r="L117" i="4"/>
  <c r="U129" i="4"/>
  <c r="O124" i="4"/>
  <c r="R110" i="4"/>
  <c r="E118" i="4"/>
  <c r="P117" i="4"/>
  <c r="R111" i="4"/>
  <c r="Q111" i="4"/>
  <c r="G130" i="4"/>
  <c r="E129" i="4"/>
  <c r="K129" i="4"/>
  <c r="M118" i="4"/>
  <c r="T110" i="4"/>
  <c r="Q117" i="4"/>
  <c r="M111" i="4"/>
  <c r="P110" i="4"/>
  <c r="L135" i="4"/>
  <c r="G112" i="4"/>
  <c r="P133" i="4"/>
  <c r="N124" i="4"/>
  <c r="N118" i="4"/>
  <c r="K117" i="4"/>
  <c r="N132" i="4"/>
  <c r="P111" i="4"/>
  <c r="R118" i="4"/>
  <c r="R134" i="4"/>
  <c r="U118" i="4"/>
  <c r="P132" i="4"/>
  <c r="H133" i="4"/>
  <c r="S124" i="4"/>
  <c r="T119" i="4"/>
  <c r="O119" i="4"/>
  <c r="J119" i="4"/>
  <c r="M114" i="4"/>
  <c r="I114" i="4"/>
  <c r="F115" i="4"/>
  <c r="Y82" i="4"/>
  <c r="Y77" i="4"/>
  <c r="K99" i="4"/>
  <c r="K130" i="4"/>
  <c r="K90" i="4"/>
  <c r="K126" i="4"/>
  <c r="K96" i="4"/>
  <c r="K134" i="4"/>
  <c r="K108" i="4"/>
  <c r="K114" i="4"/>
  <c r="K83" i="4"/>
  <c r="K123" i="4"/>
  <c r="K121" i="4"/>
  <c r="K111" i="4"/>
  <c r="K118" i="4"/>
  <c r="K93" i="4"/>
  <c r="K102" i="4"/>
  <c r="I130" i="4"/>
  <c r="U113" i="4"/>
  <c r="G114" i="4"/>
  <c r="R114" i="4"/>
  <c r="Q132" i="4"/>
  <c r="S132" i="4"/>
  <c r="J132" i="4"/>
  <c r="R132" i="4"/>
  <c r="K132" i="4"/>
  <c r="M132" i="4"/>
  <c r="L132" i="4"/>
  <c r="E132" i="4"/>
  <c r="H132" i="4"/>
  <c r="U130" i="4"/>
  <c r="O114" i="4"/>
  <c r="P113" i="4"/>
  <c r="M130" i="4"/>
  <c r="S123" i="4"/>
  <c r="S93" i="4"/>
  <c r="S83" i="4"/>
  <c r="S134" i="4"/>
  <c r="S114" i="4"/>
  <c r="S130" i="4"/>
  <c r="S90" i="4"/>
  <c r="S121" i="4"/>
  <c r="S111" i="4"/>
  <c r="S126" i="4"/>
  <c r="S108" i="4"/>
  <c r="S99" i="4"/>
  <c r="S102" i="4"/>
  <c r="S118" i="4"/>
  <c r="S96" i="4"/>
  <c r="O115" i="4"/>
  <c r="O113" i="4"/>
  <c r="Q115" i="4"/>
  <c r="S115" i="4"/>
  <c r="R115" i="4"/>
  <c r="M115" i="4"/>
  <c r="M113" i="4"/>
  <c r="K115" i="4"/>
  <c r="L113" i="4"/>
  <c r="J115" i="4"/>
  <c r="K113" i="4"/>
  <c r="J113" i="4"/>
  <c r="G113" i="4"/>
  <c r="F113" i="4"/>
  <c r="P114" i="4"/>
  <c r="Q114" i="4"/>
  <c r="N115" i="4"/>
  <c r="N114" i="4"/>
  <c r="E115" i="4"/>
  <c r="N113" i="4"/>
  <c r="I113" i="4"/>
  <c r="Y88" i="4"/>
  <c r="L115" i="4"/>
  <c r="H113" i="4"/>
  <c r="H130" i="4"/>
  <c r="O130" i="4"/>
  <c r="F114" i="4"/>
  <c r="I115" i="4"/>
  <c r="T113" i="4"/>
  <c r="S113" i="4"/>
  <c r="P115" i="4"/>
  <c r="K116" i="4"/>
  <c r="L116" i="4"/>
  <c r="U116" i="4"/>
  <c r="T116" i="4"/>
  <c r="Q116" i="4"/>
  <c r="R116" i="4"/>
  <c r="S116" i="4"/>
  <c r="M116" i="4"/>
  <c r="O116" i="4"/>
  <c r="F133" i="4"/>
  <c r="R135" i="4"/>
  <c r="S135" i="4"/>
  <c r="Q135" i="4"/>
  <c r="O133" i="4"/>
  <c r="N133" i="4"/>
  <c r="E135" i="4"/>
  <c r="I133" i="4"/>
  <c r="G133" i="4"/>
  <c r="L133" i="4"/>
  <c r="K133" i="4"/>
  <c r="J133" i="4"/>
  <c r="K135" i="4"/>
  <c r="J135" i="4"/>
  <c r="M135" i="4"/>
  <c r="F135" i="4"/>
  <c r="M133" i="4"/>
  <c r="J114" i="4"/>
  <c r="G129" i="4"/>
  <c r="F129" i="4"/>
  <c r="M129" i="4"/>
  <c r="L129" i="4"/>
  <c r="R129" i="4"/>
  <c r="N129" i="4"/>
  <c r="K119" i="4"/>
  <c r="G117" i="4"/>
  <c r="Q119" i="4"/>
  <c r="M117" i="4"/>
  <c r="M119" i="4"/>
  <c r="L119" i="4"/>
  <c r="O117" i="4"/>
  <c r="G119" i="4"/>
  <c r="S119" i="4"/>
  <c r="N117" i="4"/>
  <c r="R119" i="4"/>
  <c r="R117" i="4"/>
  <c r="E119" i="4"/>
  <c r="I117" i="4"/>
  <c r="H117" i="4"/>
  <c r="J118" i="4"/>
  <c r="J117" i="4"/>
  <c r="E117" i="4"/>
  <c r="U114" i="4"/>
  <c r="T134" i="4"/>
  <c r="T114" i="4"/>
  <c r="T99" i="4"/>
  <c r="T121" i="4"/>
  <c r="T111" i="4"/>
  <c r="T83" i="4"/>
  <c r="T108" i="4"/>
  <c r="T130" i="4"/>
  <c r="T126" i="4"/>
  <c r="T93" i="4"/>
  <c r="T118" i="4"/>
  <c r="T96" i="4"/>
  <c r="T102" i="4"/>
  <c r="T123" i="4"/>
  <c r="Y109" i="4"/>
  <c r="L130" i="4"/>
  <c r="L90" i="4"/>
  <c r="L121" i="4"/>
  <c r="L111" i="4"/>
  <c r="L114" i="4"/>
  <c r="L96" i="4"/>
  <c r="L108" i="4"/>
  <c r="L83" i="4"/>
  <c r="L123" i="4"/>
  <c r="L99" i="4"/>
  <c r="L134" i="4"/>
  <c r="L126" i="4"/>
  <c r="L93" i="4"/>
  <c r="L102" i="4"/>
  <c r="L118" i="4"/>
  <c r="Y84" i="4"/>
  <c r="Q112" i="4"/>
  <c r="M110" i="4"/>
  <c r="T2" i="4"/>
  <c r="M112" i="4"/>
  <c r="F110" i="4"/>
  <c r="L112" i="4"/>
  <c r="K112" i="4"/>
  <c r="O110" i="4"/>
  <c r="T4" i="4"/>
  <c r="J112" i="4"/>
  <c r="N110" i="4"/>
  <c r="G110" i="4"/>
  <c r="E112" i="4"/>
  <c r="H110" i="4"/>
  <c r="J111" i="4"/>
  <c r="S112" i="4"/>
  <c r="F111" i="4"/>
  <c r="T112" i="4"/>
  <c r="R112" i="4"/>
  <c r="T3" i="4"/>
  <c r="N116" i="4"/>
  <c r="J134" i="4"/>
  <c r="F132" i="4"/>
  <c r="U134" i="4"/>
  <c r="Q134" i="4"/>
  <c r="P119" i="4"/>
  <c r="Q113" i="4"/>
  <c r="G111" i="4"/>
  <c r="Y97" i="4"/>
  <c r="Y94" i="4"/>
  <c r="U112" i="4"/>
  <c r="G132" i="4"/>
  <c r="N112" i="4"/>
  <c r="H134" i="4"/>
  <c r="Q133" i="4"/>
  <c r="P130" i="4"/>
  <c r="Y79" i="4"/>
  <c r="H114" i="4"/>
  <c r="E113" i="4"/>
  <c r="F117" i="4"/>
  <c r="G115" i="4"/>
  <c r="J130" i="4"/>
  <c r="P116" i="4"/>
  <c r="S129" i="4"/>
  <c r="Q130" i="4"/>
  <c r="N134" i="4"/>
  <c r="O118" i="4"/>
  <c r="R71" i="1"/>
  <c r="O73" i="1"/>
  <c r="U72" i="1"/>
  <c r="E71" i="1"/>
  <c r="H71" i="1"/>
  <c r="M73" i="1"/>
  <c r="J71" i="1"/>
  <c r="K71" i="1"/>
  <c r="O71" i="1"/>
  <c r="S71" i="1"/>
  <c r="T71" i="1"/>
  <c r="G71" i="1"/>
  <c r="L71" i="1"/>
  <c r="M71" i="1"/>
  <c r="F73" i="1"/>
  <c r="P71" i="1"/>
  <c r="I71" i="1"/>
  <c r="N71" i="1"/>
  <c r="Q71" i="1"/>
  <c r="T96" i="1"/>
  <c r="F71" i="1"/>
  <c r="T72" i="1"/>
  <c r="E72" i="1"/>
  <c r="S72" i="1"/>
  <c r="E73" i="1"/>
  <c r="R72" i="1"/>
  <c r="U73" i="1"/>
  <c r="Q72" i="1"/>
  <c r="T73" i="1"/>
  <c r="P72" i="1"/>
  <c r="U71" i="1"/>
  <c r="S73" i="1"/>
  <c r="O72" i="1"/>
  <c r="R73" i="1"/>
  <c r="N72" i="1"/>
  <c r="P76" i="1"/>
  <c r="Q73" i="1"/>
  <c r="M72" i="1"/>
  <c r="Q76" i="1"/>
  <c r="P73" i="1"/>
  <c r="L72" i="1"/>
  <c r="K72" i="1"/>
  <c r="N73" i="1"/>
  <c r="J72" i="1"/>
  <c r="I72" i="1"/>
  <c r="L73" i="1"/>
  <c r="H72" i="1"/>
  <c r="K73" i="1"/>
  <c r="G72" i="1"/>
  <c r="J73" i="1"/>
  <c r="F72" i="1"/>
  <c r="I73" i="1"/>
  <c r="H73" i="1"/>
  <c r="G73" i="1"/>
  <c r="K83" i="1"/>
  <c r="N76" i="1"/>
  <c r="M83" i="1"/>
  <c r="M83" i="5" s="1"/>
  <c r="O76" i="1"/>
  <c r="H76" i="1"/>
  <c r="G76" i="1"/>
  <c r="F76" i="1"/>
  <c r="S76" i="1"/>
  <c r="R76" i="1"/>
  <c r="I83" i="1"/>
  <c r="I83" i="5" s="1"/>
  <c r="J76" i="1"/>
  <c r="M100" i="1"/>
  <c r="M100" i="5" s="1"/>
  <c r="J100" i="1"/>
  <c r="J100" i="5" s="1"/>
  <c r="H94" i="1"/>
  <c r="H94" i="5" s="1"/>
  <c r="I103" i="1"/>
  <c r="I103" i="5" s="1"/>
  <c r="E100" i="1"/>
  <c r="E100" i="5" s="1"/>
  <c r="E103" i="1"/>
  <c r="E103" i="5" s="1"/>
  <c r="N100" i="1"/>
  <c r="N100" i="5" s="1"/>
  <c r="I100" i="1"/>
  <c r="I100" i="5" s="1"/>
  <c r="E84" i="1"/>
  <c r="E84" i="5" s="1"/>
  <c r="M109" i="1"/>
  <c r="M109" i="5" s="1"/>
  <c r="H100" i="1"/>
  <c r="H100" i="5" s="1"/>
  <c r="F99" i="1"/>
  <c r="F99" i="5" s="1"/>
  <c r="P94" i="1"/>
  <c r="P94" i="5" s="1"/>
  <c r="G108" i="1"/>
  <c r="G108" i="5" s="1"/>
  <c r="F100" i="1"/>
  <c r="F100" i="5" s="1"/>
  <c r="Q91" i="1"/>
  <c r="Q91" i="5" s="1"/>
  <c r="H103" i="1"/>
  <c r="H103" i="5" s="1"/>
  <c r="H84" i="1"/>
  <c r="H84" i="5" s="1"/>
  <c r="G103" i="1"/>
  <c r="G103" i="5" s="1"/>
  <c r="G84" i="1"/>
  <c r="G84" i="5" s="1"/>
  <c r="F108" i="1"/>
  <c r="F108" i="5" s="1"/>
  <c r="G100" i="1"/>
  <c r="G100" i="5" s="1"/>
  <c r="Y81" i="1"/>
  <c r="F84" i="1"/>
  <c r="F84" i="5" s="1"/>
  <c r="G94" i="1"/>
  <c r="G94" i="5" s="1"/>
  <c r="Q100" i="1"/>
  <c r="Q100" i="5" s="1"/>
  <c r="F94" i="1"/>
  <c r="F94" i="5" s="1"/>
  <c r="J90" i="1"/>
  <c r="J90" i="5" s="1"/>
  <c r="F103" i="1"/>
  <c r="F103" i="5" s="1"/>
  <c r="P100" i="1"/>
  <c r="P100" i="5" s="1"/>
  <c r="O100" i="1"/>
  <c r="O100" i="5" s="1"/>
  <c r="Y104" i="1"/>
  <c r="U103" i="1"/>
  <c r="U103" i="5" s="1"/>
  <c r="L100" i="1"/>
  <c r="L100" i="5" s="1"/>
  <c r="U84" i="1"/>
  <c r="U84" i="5" s="1"/>
  <c r="K109" i="1"/>
  <c r="K109" i="5" s="1"/>
  <c r="S108" i="1"/>
  <c r="U109" i="1"/>
  <c r="U109" i="5" s="1"/>
  <c r="S83" i="1"/>
  <c r="S83" i="5" s="1"/>
  <c r="L109" i="1"/>
  <c r="L109" i="5" s="1"/>
  <c r="G91" i="1"/>
  <c r="G91" i="5" s="1"/>
  <c r="U97" i="1"/>
  <c r="U97" i="5" s="1"/>
  <c r="H109" i="1"/>
  <c r="H109" i="5" s="1"/>
  <c r="Y106" i="1"/>
  <c r="S102" i="1"/>
  <c r="N97" i="1"/>
  <c r="N97" i="5" s="1"/>
  <c r="G109" i="1"/>
  <c r="G109" i="5" s="1"/>
  <c r="U94" i="1"/>
  <c r="U94" i="5" s="1"/>
  <c r="Y105" i="1"/>
  <c r="J109" i="1"/>
  <c r="J109" i="5" s="1"/>
  <c r="N96" i="1"/>
  <c r="N96" i="5" s="1"/>
  <c r="K100" i="1"/>
  <c r="K100" i="5" s="1"/>
  <c r="R91" i="1"/>
  <c r="R91" i="5" s="1"/>
  <c r="S103" i="1"/>
  <c r="S103" i="5" s="1"/>
  <c r="N102" i="1"/>
  <c r="N102" i="5" s="1"/>
  <c r="O87" i="1"/>
  <c r="T109" i="1"/>
  <c r="T109" i="5" s="1"/>
  <c r="N93" i="1"/>
  <c r="N93" i="5" s="1"/>
  <c r="N91" i="1"/>
  <c r="N91" i="5" s="1"/>
  <c r="F91" i="1"/>
  <c r="F91" i="5" s="1"/>
  <c r="S109" i="1"/>
  <c r="S109" i="5" s="1"/>
  <c r="O108" i="1"/>
  <c r="O108" i="5" s="1"/>
  <c r="O103" i="1"/>
  <c r="O103" i="5" s="1"/>
  <c r="N83" i="1"/>
  <c r="N83" i="5" s="1"/>
  <c r="O86" i="1"/>
  <c r="J96" i="1"/>
  <c r="J96" i="5" s="1"/>
  <c r="O91" i="1"/>
  <c r="O91" i="5" s="1"/>
  <c r="T97" i="1"/>
  <c r="T97" i="5" s="1"/>
  <c r="J102" i="1"/>
  <c r="J102" i="5" s="1"/>
  <c r="S97" i="1"/>
  <c r="S97" i="5" s="1"/>
  <c r="R84" i="1"/>
  <c r="R84" i="5" s="1"/>
  <c r="I15" i="1"/>
  <c r="I65" i="1" s="1"/>
  <c r="I65" i="5" s="1"/>
  <c r="Q109" i="1"/>
  <c r="Q109" i="5" s="1"/>
  <c r="M103" i="1"/>
  <c r="M103" i="5" s="1"/>
  <c r="R94" i="1"/>
  <c r="R94" i="5" s="1"/>
  <c r="Y80" i="1"/>
  <c r="P96" i="1"/>
  <c r="P96" i="5" s="1"/>
  <c r="P91" i="1"/>
  <c r="P91" i="5" s="1"/>
  <c r="Q103" i="1"/>
  <c r="Q103" i="5" s="1"/>
  <c r="M91" i="1"/>
  <c r="M91" i="5" s="1"/>
  <c r="R109" i="1"/>
  <c r="R109" i="5" s="1"/>
  <c r="R97" i="1"/>
  <c r="R97" i="5" s="1"/>
  <c r="O90" i="1"/>
  <c r="O90" i="5" s="1"/>
  <c r="Q84" i="1"/>
  <c r="Q84" i="5" s="1"/>
  <c r="P109" i="1"/>
  <c r="P109" i="5" s="1"/>
  <c r="T100" i="1"/>
  <c r="T100" i="5" s="1"/>
  <c r="T94" i="1"/>
  <c r="T94" i="5" s="1"/>
  <c r="O96" i="1"/>
  <c r="O96" i="5" s="1"/>
  <c r="S91" i="1"/>
  <c r="S91" i="5" s="1"/>
  <c r="O102" i="1"/>
  <c r="O102" i="5" s="1"/>
  <c r="R103" i="1"/>
  <c r="R103" i="5" s="1"/>
  <c r="P93" i="1"/>
  <c r="P93" i="5" s="1"/>
  <c r="P88" i="1"/>
  <c r="T84" i="1"/>
  <c r="T84" i="5" s="1"/>
  <c r="N90" i="1"/>
  <c r="N90" i="5" s="1"/>
  <c r="Q97" i="1"/>
  <c r="Q97" i="5" s="1"/>
  <c r="S100" i="1"/>
  <c r="S100" i="5" s="1"/>
  <c r="O99" i="1"/>
  <c r="O99" i="5" s="1"/>
  <c r="P103" i="1"/>
  <c r="P103" i="5" s="1"/>
  <c r="N108" i="1"/>
  <c r="N108" i="5" s="1"/>
  <c r="N103" i="1"/>
  <c r="N103" i="5" s="1"/>
  <c r="N109" i="1"/>
  <c r="N109" i="5" s="1"/>
  <c r="J108" i="1"/>
  <c r="J108" i="5" s="1"/>
  <c r="S90" i="1"/>
  <c r="U91" i="1"/>
  <c r="U91" i="5" s="1"/>
  <c r="G83" i="1"/>
  <c r="G83" i="5" s="1"/>
  <c r="G93" i="1"/>
  <c r="G93" i="5" s="1"/>
  <c r="G96" i="1"/>
  <c r="G96" i="5" s="1"/>
  <c r="L84" i="1"/>
  <c r="L84" i="5" s="1"/>
  <c r="L94" i="1"/>
  <c r="L94" i="5" s="1"/>
  <c r="L97" i="1"/>
  <c r="L97" i="5" s="1"/>
  <c r="L91" i="1"/>
  <c r="L91" i="5" s="1"/>
  <c r="I97" i="1"/>
  <c r="I97" i="5" s="1"/>
  <c r="I91" i="1"/>
  <c r="I91" i="5" s="1"/>
  <c r="I84" i="1"/>
  <c r="I84" i="5" s="1"/>
  <c r="I94" i="1"/>
  <c r="I94" i="5" s="1"/>
  <c r="J84" i="1"/>
  <c r="J84" i="5" s="1"/>
  <c r="J94" i="1"/>
  <c r="J94" i="5" s="1"/>
  <c r="J97" i="1"/>
  <c r="J97" i="5" s="1"/>
  <c r="J91" i="1"/>
  <c r="J91" i="5" s="1"/>
  <c r="F83" i="1"/>
  <c r="F83" i="5" s="1"/>
  <c r="F93" i="1"/>
  <c r="F93" i="5" s="1"/>
  <c r="F96" i="1"/>
  <c r="F96" i="5" s="1"/>
  <c r="F90" i="1"/>
  <c r="F90" i="5" s="1"/>
  <c r="K84" i="1"/>
  <c r="K84" i="5" s="1"/>
  <c r="K94" i="1"/>
  <c r="K94" i="5" s="1"/>
  <c r="K97" i="1"/>
  <c r="K97" i="5" s="1"/>
  <c r="K91" i="1"/>
  <c r="K91" i="5" s="1"/>
  <c r="U82" i="1"/>
  <c r="U82" i="5" s="1"/>
  <c r="O97" i="1"/>
  <c r="O97" i="5" s="1"/>
  <c r="H91" i="1"/>
  <c r="H91" i="5" s="1"/>
  <c r="M97" i="1"/>
  <c r="M97" i="5" s="1"/>
  <c r="S94" i="1"/>
  <c r="S94" i="5" s="1"/>
  <c r="O94" i="1"/>
  <c r="O94" i="5" s="1"/>
  <c r="F97" i="1"/>
  <c r="F97" i="5" s="1"/>
  <c r="N94" i="1"/>
  <c r="N94" i="5" s="1"/>
  <c r="J93" i="1"/>
  <c r="J93" i="5" s="1"/>
  <c r="M94" i="1"/>
  <c r="M94" i="5" s="1"/>
  <c r="E91" i="1"/>
  <c r="E91" i="5" s="1"/>
  <c r="E97" i="1"/>
  <c r="E97" i="5" s="1"/>
  <c r="E94" i="1"/>
  <c r="E94" i="5" s="1"/>
  <c r="Y95" i="4" l="1"/>
  <c r="X95" i="5"/>
  <c r="E78" i="1"/>
  <c r="E78" i="5" s="1"/>
  <c r="E76" i="5"/>
  <c r="E83" i="1"/>
  <c r="E83" i="5" s="1"/>
  <c r="K83" i="5"/>
  <c r="T96" i="5"/>
  <c r="Y93" i="4"/>
  <c r="Y65" i="5"/>
  <c r="T5" i="5" s="1"/>
  <c r="Y65" i="1"/>
  <c r="T5" i="1" s="1"/>
  <c r="S96" i="1"/>
  <c r="S96" i="5" s="1"/>
  <c r="P90" i="1"/>
  <c r="P90" i="5" s="1"/>
  <c r="S93" i="1"/>
  <c r="S93" i="5" s="1"/>
  <c r="P99" i="1"/>
  <c r="P99" i="5" s="1"/>
  <c r="P102" i="1"/>
  <c r="P102" i="5" s="1"/>
  <c r="G99" i="1"/>
  <c r="G99" i="5" s="1"/>
  <c r="Y109" i="5"/>
  <c r="N99" i="1"/>
  <c r="N99" i="5" s="1"/>
  <c r="Y87" i="1"/>
  <c r="O87" i="5"/>
  <c r="Y87" i="5" s="1"/>
  <c r="Y103" i="5"/>
  <c r="R93" i="1"/>
  <c r="R93" i="5" s="1"/>
  <c r="G90" i="1"/>
  <c r="G90" i="5" s="1"/>
  <c r="Y88" i="1"/>
  <c r="P88" i="5"/>
  <c r="Y88" i="5" s="1"/>
  <c r="Y84" i="5"/>
  <c r="Y80" i="5"/>
  <c r="E10" i="6" s="1"/>
  <c r="G102" i="1"/>
  <c r="G102" i="5" s="1"/>
  <c r="U78" i="1"/>
  <c r="U98" i="1" s="1"/>
  <c r="U98" i="5" s="1"/>
  <c r="J99" i="1"/>
  <c r="J99" i="5" s="1"/>
  <c r="Y100" i="5"/>
  <c r="H90" i="1"/>
  <c r="H90" i="5" s="1"/>
  <c r="H102" i="1"/>
  <c r="H102" i="5" s="1"/>
  <c r="H99" i="1"/>
  <c r="H99" i="5" s="1"/>
  <c r="Q90" i="1"/>
  <c r="Q90" i="5" s="1"/>
  <c r="J76" i="5"/>
  <c r="J78" i="1"/>
  <c r="H93" i="1"/>
  <c r="H93" i="5" s="1"/>
  <c r="H83" i="1"/>
  <c r="H83" i="5" s="1"/>
  <c r="M76" i="5"/>
  <c r="M78" i="1"/>
  <c r="L76" i="5"/>
  <c r="L78" i="1"/>
  <c r="Q108" i="1"/>
  <c r="Q108" i="5" s="1"/>
  <c r="R76" i="5"/>
  <c r="R78" i="1"/>
  <c r="R113" i="1" s="1"/>
  <c r="R113" i="5" s="1"/>
  <c r="W95" i="1"/>
  <c r="W95" i="5" s="1"/>
  <c r="S99" i="1"/>
  <c r="S99" i="5" s="1"/>
  <c r="R108" i="1"/>
  <c r="R108" i="5" s="1"/>
  <c r="S76" i="5"/>
  <c r="S78" i="1"/>
  <c r="W101" i="1"/>
  <c r="W101" i="5" s="1"/>
  <c r="Q76" i="5"/>
  <c r="Q78" i="1"/>
  <c r="Q128" i="1" s="1"/>
  <c r="Q128" i="5" s="1"/>
  <c r="W113" i="1"/>
  <c r="W113" i="5" s="1"/>
  <c r="W117" i="1"/>
  <c r="W117" i="5" s="1"/>
  <c r="I76" i="5"/>
  <c r="I78" i="1"/>
  <c r="Q102" i="1"/>
  <c r="Q102" i="5" s="1"/>
  <c r="G78" i="1"/>
  <c r="G120" i="1" s="1"/>
  <c r="G120" i="5" s="1"/>
  <c r="G76" i="5"/>
  <c r="W107" i="1"/>
  <c r="W107" i="5" s="1"/>
  <c r="T78" i="1"/>
  <c r="T120" i="1" s="1"/>
  <c r="T120" i="5" s="1"/>
  <c r="T76" i="5"/>
  <c r="H108" i="1"/>
  <c r="H108" i="5" s="1"/>
  <c r="H78" i="1"/>
  <c r="H76" i="5"/>
  <c r="W92" i="1"/>
  <c r="W92" i="5" s="1"/>
  <c r="W129" i="1"/>
  <c r="W129" i="5" s="1"/>
  <c r="W120" i="1"/>
  <c r="W120" i="5" s="1"/>
  <c r="R83" i="1"/>
  <c r="R83" i="5" s="1"/>
  <c r="L99" i="1"/>
  <c r="W89" i="1"/>
  <c r="W89" i="5" s="1"/>
  <c r="J83" i="1"/>
  <c r="J83" i="5" s="1"/>
  <c r="H96" i="1"/>
  <c r="H96" i="5" s="1"/>
  <c r="R99" i="1"/>
  <c r="R99" i="5" s="1"/>
  <c r="Q93" i="1"/>
  <c r="Q93" i="5" s="1"/>
  <c r="Q96" i="1"/>
  <c r="Q96" i="5" s="1"/>
  <c r="O78" i="1"/>
  <c r="O76" i="5"/>
  <c r="Q83" i="1"/>
  <c r="Q83" i="5" s="1"/>
  <c r="Q99" i="1"/>
  <c r="Q99" i="5" s="1"/>
  <c r="P78" i="1"/>
  <c r="P76" i="5"/>
  <c r="W98" i="1"/>
  <c r="W98" i="5" s="1"/>
  <c r="R79" i="5"/>
  <c r="R96" i="1"/>
  <c r="R96" i="5" s="1"/>
  <c r="R90" i="1"/>
  <c r="R90" i="5" s="1"/>
  <c r="N78" i="1"/>
  <c r="N76" i="5"/>
  <c r="P108" i="1"/>
  <c r="P108" i="5" s="1"/>
  <c r="K76" i="5"/>
  <c r="K78" i="1"/>
  <c r="K125" i="1" s="1"/>
  <c r="K125" i="5" s="1"/>
  <c r="Y76" i="1"/>
  <c r="F78" i="1"/>
  <c r="F76" i="5"/>
  <c r="Y97" i="5"/>
  <c r="Y94" i="5"/>
  <c r="Y72" i="5"/>
  <c r="E3" i="6" s="1"/>
  <c r="Y71" i="1"/>
  <c r="Y71" i="5"/>
  <c r="E2" i="6" s="1"/>
  <c r="Y73" i="1"/>
  <c r="Y72" i="1"/>
  <c r="Y107" i="4"/>
  <c r="Y92" i="4"/>
  <c r="V138" i="4"/>
  <c r="V144" i="4" s="1"/>
  <c r="V150" i="4" s="1"/>
  <c r="V156" i="4" s="1"/>
  <c r="Y101" i="4"/>
  <c r="W138" i="4"/>
  <c r="W144" i="4" s="1"/>
  <c r="W150" i="4" s="1"/>
  <c r="W156" i="4" s="1"/>
  <c r="X137" i="4"/>
  <c r="X143" i="4" s="1"/>
  <c r="X149" i="4" s="1"/>
  <c r="V137" i="4"/>
  <c r="V143" i="4" s="1"/>
  <c r="V149" i="4" s="1"/>
  <c r="Y98" i="4"/>
  <c r="W137" i="4"/>
  <c r="W143" i="4" s="1"/>
  <c r="W149" i="4" s="1"/>
  <c r="X136" i="4"/>
  <c r="X142" i="4" s="1"/>
  <c r="Y96" i="4"/>
  <c r="X138" i="4"/>
  <c r="X144" i="4" s="1"/>
  <c r="X150" i="4" s="1"/>
  <c r="V136" i="4"/>
  <c r="V142" i="4" s="1"/>
  <c r="W136" i="4"/>
  <c r="W142" i="4" s="1"/>
  <c r="Y108" i="4"/>
  <c r="S102" i="5"/>
  <c r="S108" i="5"/>
  <c r="Y83" i="4"/>
  <c r="L99" i="5"/>
  <c r="Y128" i="4"/>
  <c r="Y102" i="4"/>
  <c r="Y99" i="4"/>
  <c r="S90" i="5"/>
  <c r="Y86" i="1"/>
  <c r="O86" i="5"/>
  <c r="Y86" i="5" s="1"/>
  <c r="X111" i="1"/>
  <c r="X111" i="5" s="1"/>
  <c r="V111" i="1"/>
  <c r="V111" i="5" s="1"/>
  <c r="W111" i="1"/>
  <c r="W111" i="5" s="1"/>
  <c r="X110" i="1"/>
  <c r="X110" i="5" s="1"/>
  <c r="V112" i="1"/>
  <c r="V112" i="5" s="1"/>
  <c r="V110" i="1"/>
  <c r="V110" i="5" s="1"/>
  <c r="W112" i="1"/>
  <c r="W112" i="5" s="1"/>
  <c r="X112" i="1"/>
  <c r="X112" i="5" s="1"/>
  <c r="U77" i="5"/>
  <c r="Y77" i="5" s="1"/>
  <c r="X127" i="1"/>
  <c r="X127" i="5" s="1"/>
  <c r="W126" i="1"/>
  <c r="W126" i="5" s="1"/>
  <c r="V126" i="1"/>
  <c r="V126" i="5" s="1"/>
  <c r="X125" i="1"/>
  <c r="X125" i="5" s="1"/>
  <c r="V125" i="1"/>
  <c r="V125" i="5" s="1"/>
  <c r="V127" i="1"/>
  <c r="V127" i="5" s="1"/>
  <c r="W127" i="1"/>
  <c r="W127" i="5" s="1"/>
  <c r="X126" i="1"/>
  <c r="X126" i="5" s="1"/>
  <c r="F130" i="1"/>
  <c r="F130" i="5" s="1"/>
  <c r="X130" i="1"/>
  <c r="X130" i="5" s="1"/>
  <c r="V130" i="1"/>
  <c r="V130" i="5" s="1"/>
  <c r="W130" i="1"/>
  <c r="W130" i="5" s="1"/>
  <c r="Y73" i="5"/>
  <c r="E4" i="6" s="1"/>
  <c r="K124" i="1"/>
  <c r="K124" i="5" s="1"/>
  <c r="X124" i="1"/>
  <c r="X124" i="5" s="1"/>
  <c r="W124" i="1"/>
  <c r="W124" i="5" s="1"/>
  <c r="V124" i="1"/>
  <c r="V124" i="5" s="1"/>
  <c r="L131" i="1"/>
  <c r="L131" i="5" s="1"/>
  <c r="V131" i="1"/>
  <c r="V131" i="5" s="1"/>
  <c r="X131" i="1"/>
  <c r="X131" i="5" s="1"/>
  <c r="W131" i="1"/>
  <c r="W131" i="5" s="1"/>
  <c r="L132" i="1"/>
  <c r="L132" i="5" s="1"/>
  <c r="V132" i="1"/>
  <c r="V132" i="5" s="1"/>
  <c r="W132" i="1"/>
  <c r="W132" i="5" s="1"/>
  <c r="X132" i="1"/>
  <c r="X132" i="5" s="1"/>
  <c r="X128" i="1"/>
  <c r="X128" i="5" s="1"/>
  <c r="V128" i="1"/>
  <c r="V128" i="5" s="1"/>
  <c r="L135" i="1"/>
  <c r="L135" i="5" s="1"/>
  <c r="V135" i="1"/>
  <c r="V135" i="5" s="1"/>
  <c r="W135" i="1"/>
  <c r="W135" i="5" s="1"/>
  <c r="X134" i="1"/>
  <c r="X134" i="5" s="1"/>
  <c r="W134" i="1"/>
  <c r="W134" i="5" s="1"/>
  <c r="X135" i="1"/>
  <c r="X135" i="5" s="1"/>
  <c r="V134" i="1"/>
  <c r="V134" i="5" s="1"/>
  <c r="X133" i="1"/>
  <c r="X133" i="5" s="1"/>
  <c r="V133" i="1"/>
  <c r="V133" i="5" s="1"/>
  <c r="U78" i="5"/>
  <c r="U101" i="1"/>
  <c r="U101" i="5" s="1"/>
  <c r="W125" i="1"/>
  <c r="W125" i="5" s="1"/>
  <c r="L119" i="1"/>
  <c r="L119" i="5" s="1"/>
  <c r="V119" i="1"/>
  <c r="V119" i="5" s="1"/>
  <c r="W119" i="1"/>
  <c r="W119" i="5" s="1"/>
  <c r="X118" i="1"/>
  <c r="X118" i="5" s="1"/>
  <c r="X119" i="1"/>
  <c r="X119" i="5" s="1"/>
  <c r="V118" i="1"/>
  <c r="V118" i="5" s="1"/>
  <c r="W118" i="1"/>
  <c r="W118" i="5" s="1"/>
  <c r="V117" i="1"/>
  <c r="V117" i="5" s="1"/>
  <c r="X117" i="1"/>
  <c r="X117" i="5" s="1"/>
  <c r="W110" i="1"/>
  <c r="F114" i="1"/>
  <c r="F114" i="5" s="1"/>
  <c r="V115" i="1"/>
  <c r="V115" i="5" s="1"/>
  <c r="W115" i="1"/>
  <c r="W115" i="5" s="1"/>
  <c r="X115" i="1"/>
  <c r="X115" i="5" s="1"/>
  <c r="X114" i="1"/>
  <c r="X114" i="5" s="1"/>
  <c r="V114" i="1"/>
  <c r="V114" i="5" s="1"/>
  <c r="W114" i="1"/>
  <c r="W114" i="5" s="1"/>
  <c r="X113" i="1"/>
  <c r="X113" i="5" s="1"/>
  <c r="V113" i="1"/>
  <c r="V113" i="5" s="1"/>
  <c r="K116" i="1"/>
  <c r="K116" i="5" s="1"/>
  <c r="V116" i="1"/>
  <c r="V116" i="5" s="1"/>
  <c r="W116" i="1"/>
  <c r="W116" i="5" s="1"/>
  <c r="X116" i="1"/>
  <c r="X116" i="5" s="1"/>
  <c r="U89" i="1"/>
  <c r="U89" i="5" s="1"/>
  <c r="X129" i="1"/>
  <c r="X129" i="5" s="1"/>
  <c r="V129" i="1"/>
  <c r="V129" i="5" s="1"/>
  <c r="F122" i="1"/>
  <c r="F122" i="5" s="1"/>
  <c r="W122" i="1"/>
  <c r="W122" i="5" s="1"/>
  <c r="X121" i="1"/>
  <c r="X121" i="5" s="1"/>
  <c r="V121" i="1"/>
  <c r="V121" i="5" s="1"/>
  <c r="X120" i="1"/>
  <c r="X120" i="5" s="1"/>
  <c r="X122" i="1"/>
  <c r="X122" i="5" s="1"/>
  <c r="V120" i="1"/>
  <c r="V120" i="5" s="1"/>
  <c r="W121" i="1"/>
  <c r="W121" i="5" s="1"/>
  <c r="V122" i="1"/>
  <c r="V122" i="5" s="1"/>
  <c r="W133" i="1"/>
  <c r="W133" i="5" s="1"/>
  <c r="W128" i="1"/>
  <c r="W128" i="5" s="1"/>
  <c r="X123" i="1"/>
  <c r="X123" i="5" s="1"/>
  <c r="V123" i="1"/>
  <c r="V123" i="5" s="1"/>
  <c r="W123" i="1"/>
  <c r="W123" i="5" s="1"/>
  <c r="T3" i="5"/>
  <c r="T2" i="5"/>
  <c r="T4" i="5"/>
  <c r="Y125" i="4"/>
  <c r="Y120" i="4"/>
  <c r="N137" i="4"/>
  <c r="N143" i="4" s="1"/>
  <c r="N149" i="4" s="1"/>
  <c r="N155" i="4" s="1"/>
  <c r="Y122" i="4"/>
  <c r="Y131" i="4"/>
  <c r="Y127" i="4"/>
  <c r="Y124" i="4"/>
  <c r="M137" i="4"/>
  <c r="M143" i="4" s="1"/>
  <c r="M149" i="4" s="1"/>
  <c r="M167" i="4" s="1"/>
  <c r="E137" i="4"/>
  <c r="E143" i="4" s="1"/>
  <c r="E149" i="4" s="1"/>
  <c r="Y130" i="4"/>
  <c r="Y123" i="4"/>
  <c r="E136" i="4"/>
  <c r="E142" i="4" s="1"/>
  <c r="J136" i="4"/>
  <c r="J142" i="4" s="1"/>
  <c r="J148" i="4" s="1"/>
  <c r="Y121" i="4"/>
  <c r="P136" i="4"/>
  <c r="P142" i="4" s="1"/>
  <c r="P148" i="4" s="1"/>
  <c r="G138" i="4"/>
  <c r="G144" i="4" s="1"/>
  <c r="G150" i="4" s="1"/>
  <c r="G156" i="4" s="1"/>
  <c r="U136" i="4"/>
  <c r="U142" i="4" s="1"/>
  <c r="U148" i="4" s="1"/>
  <c r="R136" i="4"/>
  <c r="R142" i="4" s="1"/>
  <c r="K136" i="4"/>
  <c r="K142" i="4" s="1"/>
  <c r="K148" i="4" s="1"/>
  <c r="L136" i="4"/>
  <c r="L142" i="4" s="1"/>
  <c r="L148" i="4" s="1"/>
  <c r="Y110" i="4"/>
  <c r="Y114" i="4"/>
  <c r="U137" i="4"/>
  <c r="U143" i="4" s="1"/>
  <c r="U149" i="4" s="1"/>
  <c r="U155" i="4" s="1"/>
  <c r="O138" i="4"/>
  <c r="O144" i="4" s="1"/>
  <c r="O150" i="4" s="1"/>
  <c r="O168" i="4" s="1"/>
  <c r="Q138" i="4"/>
  <c r="Q144" i="4" s="1"/>
  <c r="Q150" i="4" s="1"/>
  <c r="Q156" i="4" s="1"/>
  <c r="R138" i="4"/>
  <c r="R144" i="4" s="1"/>
  <c r="R150" i="4" s="1"/>
  <c r="R168" i="4" s="1"/>
  <c r="H137" i="4"/>
  <c r="H143" i="4" s="1"/>
  <c r="H149" i="4" s="1"/>
  <c r="H161" i="4" s="1"/>
  <c r="H136" i="4"/>
  <c r="H142" i="4" s="1"/>
  <c r="H148" i="4" s="1"/>
  <c r="P137" i="4"/>
  <c r="P143" i="4" s="1"/>
  <c r="P149" i="4" s="1"/>
  <c r="P167" i="4" s="1"/>
  <c r="Y126" i="4"/>
  <c r="H138" i="4"/>
  <c r="H144" i="4" s="1"/>
  <c r="H150" i="4" s="1"/>
  <c r="H162" i="4" s="1"/>
  <c r="I137" i="4"/>
  <c r="I143" i="4" s="1"/>
  <c r="I149" i="4" s="1"/>
  <c r="I161" i="4" s="1"/>
  <c r="T138" i="4"/>
  <c r="U138" i="4"/>
  <c r="U144" i="4" s="1"/>
  <c r="U150" i="4" s="1"/>
  <c r="U162" i="4" s="1"/>
  <c r="Y118" i="4"/>
  <c r="F138" i="4"/>
  <c r="F144" i="4" s="1"/>
  <c r="F150" i="4" s="1"/>
  <c r="F168" i="4" s="1"/>
  <c r="P138" i="4"/>
  <c r="P144" i="4" s="1"/>
  <c r="P150" i="4" s="1"/>
  <c r="P156" i="4" s="1"/>
  <c r="Y116" i="4"/>
  <c r="S138" i="4"/>
  <c r="S144" i="4" s="1"/>
  <c r="S150" i="4" s="1"/>
  <c r="S168" i="4" s="1"/>
  <c r="O137" i="4"/>
  <c r="O143" i="4" s="1"/>
  <c r="O149" i="4" s="1"/>
  <c r="O167" i="4" s="1"/>
  <c r="Y133" i="4"/>
  <c r="S136" i="4"/>
  <c r="S142" i="4" s="1"/>
  <c r="S148" i="4" s="1"/>
  <c r="Y129" i="4"/>
  <c r="F137" i="4"/>
  <c r="F143" i="4" s="1"/>
  <c r="F149" i="4" s="1"/>
  <c r="F161" i="4" s="1"/>
  <c r="Q137" i="4"/>
  <c r="Q143" i="4" s="1"/>
  <c r="Q149" i="4" s="1"/>
  <c r="Q161" i="4" s="1"/>
  <c r="I136" i="4"/>
  <c r="I142" i="4" s="1"/>
  <c r="I148" i="4" s="1"/>
  <c r="T136" i="4"/>
  <c r="G137" i="4"/>
  <c r="G143" i="4" s="1"/>
  <c r="G149" i="4" s="1"/>
  <c r="G155" i="4" s="1"/>
  <c r="Y135" i="4"/>
  <c r="Q136" i="4"/>
  <c r="Q142" i="4" s="1"/>
  <c r="I138" i="4"/>
  <c r="I144" i="4" s="1"/>
  <c r="I150" i="4" s="1"/>
  <c r="I168" i="4" s="1"/>
  <c r="R137" i="4"/>
  <c r="R143" i="4" s="1"/>
  <c r="R149" i="4" s="1"/>
  <c r="R167" i="4" s="1"/>
  <c r="Y115" i="4"/>
  <c r="Y134" i="4"/>
  <c r="T89" i="4"/>
  <c r="T91" i="4"/>
  <c r="T90" i="4"/>
  <c r="L137" i="4"/>
  <c r="L143" i="4" s="1"/>
  <c r="J137" i="4"/>
  <c r="J143" i="4" s="1"/>
  <c r="J149" i="4" s="1"/>
  <c r="Y117" i="4"/>
  <c r="S137" i="4"/>
  <c r="S143" i="4" s="1"/>
  <c r="S149" i="4" s="1"/>
  <c r="Y112" i="4"/>
  <c r="E138" i="4"/>
  <c r="G136" i="4"/>
  <c r="G142" i="4" s="1"/>
  <c r="N138" i="4"/>
  <c r="N144" i="4" s="1"/>
  <c r="N150" i="4" s="1"/>
  <c r="Y132" i="4"/>
  <c r="N136" i="4"/>
  <c r="N142" i="4" s="1"/>
  <c r="K138" i="4"/>
  <c r="K144" i="4" s="1"/>
  <c r="K150" i="4" s="1"/>
  <c r="L138" i="4"/>
  <c r="L144" i="4" s="1"/>
  <c r="L150" i="4" s="1"/>
  <c r="Y111" i="4"/>
  <c r="K137" i="4"/>
  <c r="K143" i="4" s="1"/>
  <c r="K149" i="4" s="1"/>
  <c r="F136" i="4"/>
  <c r="F142" i="4" s="1"/>
  <c r="O136" i="4"/>
  <c r="O142" i="4" s="1"/>
  <c r="M138" i="4"/>
  <c r="M144" i="4" s="1"/>
  <c r="M150" i="4" s="1"/>
  <c r="Y119" i="4"/>
  <c r="J138" i="4"/>
  <c r="J144" i="4" s="1"/>
  <c r="J150" i="4" s="1"/>
  <c r="Y113" i="4"/>
  <c r="M136" i="4"/>
  <c r="M142" i="4" s="1"/>
  <c r="T137" i="4"/>
  <c r="I90" i="1"/>
  <c r="I90" i="5" s="1"/>
  <c r="U83" i="1"/>
  <c r="U83" i="5" s="1"/>
  <c r="U102" i="1"/>
  <c r="U102" i="5" s="1"/>
  <c r="T108" i="1"/>
  <c r="T108" i="5" s="1"/>
  <c r="T83" i="1"/>
  <c r="T83" i="5" s="1"/>
  <c r="U93" i="1"/>
  <c r="U93" i="5" s="1"/>
  <c r="L108" i="1"/>
  <c r="L108" i="5" s="1"/>
  <c r="U90" i="1"/>
  <c r="U90" i="5" s="1"/>
  <c r="L93" i="1"/>
  <c r="L93" i="5" s="1"/>
  <c r="U99" i="1"/>
  <c r="U99" i="5" s="1"/>
  <c r="T99" i="1"/>
  <c r="T99" i="5" s="1"/>
  <c r="T93" i="1"/>
  <c r="T93" i="5" s="1"/>
  <c r="U111" i="1"/>
  <c r="U111" i="5" s="1"/>
  <c r="T102" i="1"/>
  <c r="T102" i="5" s="1"/>
  <c r="U108" i="1"/>
  <c r="U108" i="5" s="1"/>
  <c r="L102" i="1"/>
  <c r="L102" i="5" s="1"/>
  <c r="Y77" i="1"/>
  <c r="L96" i="1"/>
  <c r="L96" i="5" s="1"/>
  <c r="L83" i="1"/>
  <c r="L83" i="5" s="1"/>
  <c r="L90" i="1"/>
  <c r="L90" i="5" s="1"/>
  <c r="E98" i="1"/>
  <c r="E98" i="5" s="1"/>
  <c r="E107" i="1"/>
  <c r="E107" i="5" s="1"/>
  <c r="K96" i="1"/>
  <c r="K96" i="5" s="1"/>
  <c r="M102" i="1"/>
  <c r="M102" i="5" s="1"/>
  <c r="M99" i="1"/>
  <c r="M99" i="5" s="1"/>
  <c r="M93" i="1"/>
  <c r="M93" i="5" s="1"/>
  <c r="M108" i="1"/>
  <c r="M108" i="5" s="1"/>
  <c r="M96" i="1"/>
  <c r="M96" i="5" s="1"/>
  <c r="K93" i="1"/>
  <c r="K93" i="5" s="1"/>
  <c r="K108" i="1"/>
  <c r="K108" i="5" s="1"/>
  <c r="K90" i="1"/>
  <c r="K90" i="5" s="1"/>
  <c r="K126" i="1"/>
  <c r="K126" i="5" s="1"/>
  <c r="K102" i="1"/>
  <c r="K102" i="5" s="1"/>
  <c r="K99" i="1"/>
  <c r="K99" i="5" s="1"/>
  <c r="M90" i="1"/>
  <c r="M90" i="5" s="1"/>
  <c r="Y79" i="1"/>
  <c r="E99" i="1"/>
  <c r="E99" i="5" s="1"/>
  <c r="I102" i="1"/>
  <c r="I102" i="5" s="1"/>
  <c r="E92" i="1"/>
  <c r="E92" i="5" s="1"/>
  <c r="E93" i="1"/>
  <c r="E93" i="5" s="1"/>
  <c r="I123" i="1"/>
  <c r="I123" i="5" s="1"/>
  <c r="I108" i="1"/>
  <c r="I108" i="5" s="1"/>
  <c r="E96" i="1"/>
  <c r="E96" i="5" s="1"/>
  <c r="I93" i="1"/>
  <c r="I93" i="5" s="1"/>
  <c r="E95" i="1"/>
  <c r="E95" i="5" s="1"/>
  <c r="E102" i="1"/>
  <c r="E102" i="5" s="1"/>
  <c r="E90" i="1"/>
  <c r="E90" i="5" s="1"/>
  <c r="E101" i="1"/>
  <c r="E101" i="5" s="1"/>
  <c r="E108" i="1"/>
  <c r="E108" i="5" s="1"/>
  <c r="E89" i="1"/>
  <c r="E89" i="5" s="1"/>
  <c r="I96" i="1"/>
  <c r="I96" i="5" s="1"/>
  <c r="E82" i="1"/>
  <c r="E82" i="5" s="1"/>
  <c r="I99" i="1"/>
  <c r="I99" i="5" s="1"/>
  <c r="I116" i="1"/>
  <c r="I116" i="5" s="1"/>
  <c r="K111" i="1"/>
  <c r="K111" i="5" s="1"/>
  <c r="T2" i="1"/>
  <c r="U125" i="1"/>
  <c r="U125" i="5" s="1"/>
  <c r="U129" i="1"/>
  <c r="U129" i="5" s="1"/>
  <c r="E118" i="1"/>
  <c r="E118" i="5" s="1"/>
  <c r="E135" i="1"/>
  <c r="E135" i="5" s="1"/>
  <c r="O118" i="1"/>
  <c r="O118" i="5" s="1"/>
  <c r="I131" i="1"/>
  <c r="I131" i="5" s="1"/>
  <c r="L112" i="1"/>
  <c r="L112" i="5" s="1"/>
  <c r="L122" i="1"/>
  <c r="L122" i="5" s="1"/>
  <c r="Y84" i="1"/>
  <c r="G126" i="1"/>
  <c r="G126" i="5" s="1"/>
  <c r="R121" i="1"/>
  <c r="R121" i="5" s="1"/>
  <c r="R126" i="1"/>
  <c r="R126" i="5" s="1"/>
  <c r="H130" i="1"/>
  <c r="H130" i="5" s="1"/>
  <c r="F126" i="1"/>
  <c r="F126" i="5" s="1"/>
  <c r="O127" i="1"/>
  <c r="O127" i="5" s="1"/>
  <c r="K135" i="1"/>
  <c r="K135" i="5" s="1"/>
  <c r="F118" i="1"/>
  <c r="F118" i="5" s="1"/>
  <c r="F112" i="1"/>
  <c r="F112" i="5" s="1"/>
  <c r="G111" i="1"/>
  <c r="G111" i="5" s="1"/>
  <c r="I127" i="1"/>
  <c r="I127" i="5" s="1"/>
  <c r="H111" i="1"/>
  <c r="H111" i="5" s="1"/>
  <c r="T126" i="1"/>
  <c r="T126" i="5" s="1"/>
  <c r="U113" i="1"/>
  <c r="U113" i="5" s="1"/>
  <c r="K131" i="1"/>
  <c r="K131" i="5" s="1"/>
  <c r="N120" i="1"/>
  <c r="N120" i="5" s="1"/>
  <c r="I112" i="1"/>
  <c r="I112" i="5" s="1"/>
  <c r="H131" i="1"/>
  <c r="H131" i="5" s="1"/>
  <c r="F132" i="1"/>
  <c r="F132" i="5" s="1"/>
  <c r="T121" i="1"/>
  <c r="T121" i="5" s="1"/>
  <c r="P125" i="1"/>
  <c r="P125" i="5" s="1"/>
  <c r="U117" i="1"/>
  <c r="U117" i="5" s="1"/>
  <c r="U120" i="1"/>
  <c r="U120" i="5" s="1"/>
  <c r="U110" i="1"/>
  <c r="U110" i="5" s="1"/>
  <c r="G130" i="1"/>
  <c r="G130" i="5" s="1"/>
  <c r="O123" i="1"/>
  <c r="O123" i="5" s="1"/>
  <c r="R110" i="1"/>
  <c r="R110" i="5" s="1"/>
  <c r="I122" i="1"/>
  <c r="I122" i="5" s="1"/>
  <c r="J123" i="1"/>
  <c r="J123" i="5" s="1"/>
  <c r="J131" i="1"/>
  <c r="J131" i="5" s="1"/>
  <c r="R125" i="1"/>
  <c r="R125" i="5" s="1"/>
  <c r="K123" i="1"/>
  <c r="K123" i="5" s="1"/>
  <c r="Y109" i="1"/>
  <c r="Y103" i="1"/>
  <c r="G121" i="1"/>
  <c r="G121" i="5" s="1"/>
  <c r="P110" i="1"/>
  <c r="P110" i="5" s="1"/>
  <c r="T111" i="1"/>
  <c r="T111" i="5" s="1"/>
  <c r="P120" i="1"/>
  <c r="P120" i="5" s="1"/>
  <c r="Q110" i="1"/>
  <c r="Q110" i="5" s="1"/>
  <c r="J127" i="1"/>
  <c r="J127" i="5" s="1"/>
  <c r="L127" i="1"/>
  <c r="L127" i="5" s="1"/>
  <c r="Y100" i="1"/>
  <c r="G114" i="1"/>
  <c r="G114" i="5" s="1"/>
  <c r="K118" i="1"/>
  <c r="K118" i="5" s="1"/>
  <c r="J122" i="1"/>
  <c r="J122" i="5" s="1"/>
  <c r="Y94" i="1"/>
  <c r="J112" i="1"/>
  <c r="J112" i="5" s="1"/>
  <c r="K112" i="1"/>
  <c r="K112" i="5" s="1"/>
  <c r="Y97" i="1"/>
  <c r="T125" i="1"/>
  <c r="T125" i="5" s="1"/>
  <c r="O122" i="1"/>
  <c r="O122" i="5" s="1"/>
  <c r="K119" i="1"/>
  <c r="K119" i="5" s="1"/>
  <c r="S119" i="1"/>
  <c r="S119" i="5" s="1"/>
  <c r="J115" i="1"/>
  <c r="J115" i="5" s="1"/>
  <c r="J116" i="1"/>
  <c r="J116" i="5" s="1"/>
  <c r="G123" i="1"/>
  <c r="G123" i="5" s="1"/>
  <c r="H123" i="1"/>
  <c r="H123" i="5" s="1"/>
  <c r="K121" i="1"/>
  <c r="K121" i="5" s="1"/>
  <c r="N110" i="1"/>
  <c r="N110" i="5" s="1"/>
  <c r="H127" i="1"/>
  <c r="H127" i="5" s="1"/>
  <c r="I115" i="1"/>
  <c r="I115" i="5" s="1"/>
  <c r="L116" i="1"/>
  <c r="L116" i="5" s="1"/>
  <c r="S124" i="1"/>
  <c r="S124" i="5" s="1"/>
  <c r="O124" i="1"/>
  <c r="O124" i="5" s="1"/>
  <c r="G118" i="1"/>
  <c r="G118" i="5" s="1"/>
  <c r="H118" i="1"/>
  <c r="H118" i="5" s="1"/>
  <c r="H112" i="1"/>
  <c r="H112" i="5" s="1"/>
  <c r="R111" i="1"/>
  <c r="R111" i="5" s="1"/>
  <c r="I119" i="1"/>
  <c r="I119" i="5" s="1"/>
  <c r="O132" i="1"/>
  <c r="O132" i="5" s="1"/>
  <c r="H134" i="1"/>
  <c r="H134" i="5" s="1"/>
  <c r="E128" i="1"/>
  <c r="E128" i="5" s="1"/>
  <c r="F128" i="1"/>
  <c r="F128" i="5" s="1"/>
  <c r="L128" i="1"/>
  <c r="L128" i="5" s="1"/>
  <c r="G128" i="1"/>
  <c r="G128" i="5" s="1"/>
  <c r="K128" i="1"/>
  <c r="K128" i="5" s="1"/>
  <c r="H128" i="1"/>
  <c r="H128" i="5" s="1"/>
  <c r="I128" i="1"/>
  <c r="I128" i="5" s="1"/>
  <c r="J128" i="1"/>
  <c r="J128" i="5" s="1"/>
  <c r="M128" i="1"/>
  <c r="M128" i="5" s="1"/>
  <c r="N128" i="1"/>
  <c r="N128" i="5" s="1"/>
  <c r="O128" i="1"/>
  <c r="O128" i="5" s="1"/>
  <c r="R128" i="1"/>
  <c r="R128" i="5" s="1"/>
  <c r="P128" i="1"/>
  <c r="P128" i="5" s="1"/>
  <c r="S128" i="1"/>
  <c r="S128" i="5" s="1"/>
  <c r="E132" i="1"/>
  <c r="E132" i="5" s="1"/>
  <c r="S132" i="1"/>
  <c r="S132" i="5" s="1"/>
  <c r="T132" i="1"/>
  <c r="T132" i="5" s="1"/>
  <c r="U132" i="1"/>
  <c r="U132" i="5" s="1"/>
  <c r="M132" i="1"/>
  <c r="M132" i="5" s="1"/>
  <c r="N132" i="1"/>
  <c r="N132" i="5" s="1"/>
  <c r="Q132" i="1"/>
  <c r="Q132" i="5" s="1"/>
  <c r="R132" i="1"/>
  <c r="R132" i="5" s="1"/>
  <c r="G132" i="1"/>
  <c r="G132" i="5" s="1"/>
  <c r="P132" i="1"/>
  <c r="P132" i="5" s="1"/>
  <c r="E124" i="1"/>
  <c r="E124" i="5" s="1"/>
  <c r="G124" i="1"/>
  <c r="G124" i="5" s="1"/>
  <c r="F124" i="1"/>
  <c r="F124" i="5" s="1"/>
  <c r="H124" i="1"/>
  <c r="H124" i="5" s="1"/>
  <c r="P124" i="1"/>
  <c r="P124" i="5" s="1"/>
  <c r="Q124" i="1"/>
  <c r="Q124" i="5" s="1"/>
  <c r="R124" i="1"/>
  <c r="R124" i="5" s="1"/>
  <c r="T124" i="1"/>
  <c r="T124" i="5" s="1"/>
  <c r="U124" i="1"/>
  <c r="U124" i="5" s="1"/>
  <c r="J132" i="1"/>
  <c r="J132" i="5" s="1"/>
  <c r="I135" i="1"/>
  <c r="I135" i="5" s="1"/>
  <c r="I132" i="1"/>
  <c r="I132" i="5" s="1"/>
  <c r="J124" i="1"/>
  <c r="J124" i="5" s="1"/>
  <c r="L124" i="1"/>
  <c r="L124" i="5" s="1"/>
  <c r="N119" i="1"/>
  <c r="N119" i="5" s="1"/>
  <c r="E133" i="1"/>
  <c r="E133" i="5" s="1"/>
  <c r="K134" i="1"/>
  <c r="K134" i="5" s="1"/>
  <c r="S135" i="1"/>
  <c r="S135" i="5" s="1"/>
  <c r="L134" i="1"/>
  <c r="L134" i="5" s="1"/>
  <c r="T135" i="1"/>
  <c r="T135" i="5" s="1"/>
  <c r="M134" i="1"/>
  <c r="M134" i="5" s="1"/>
  <c r="U135" i="1"/>
  <c r="U135" i="5" s="1"/>
  <c r="L133" i="1"/>
  <c r="L133" i="5" s="1"/>
  <c r="T134" i="1"/>
  <c r="T134" i="5" s="1"/>
  <c r="O135" i="1"/>
  <c r="O135" i="5" s="1"/>
  <c r="J134" i="1"/>
  <c r="J134" i="5" s="1"/>
  <c r="P135" i="1"/>
  <c r="P135" i="5" s="1"/>
  <c r="Q135" i="1"/>
  <c r="Q135" i="5" s="1"/>
  <c r="F133" i="1"/>
  <c r="F133" i="5" s="1"/>
  <c r="N134" i="1"/>
  <c r="N134" i="5" s="1"/>
  <c r="G133" i="1"/>
  <c r="G133" i="5" s="1"/>
  <c r="O134" i="1"/>
  <c r="O134" i="5" s="1"/>
  <c r="I133" i="1"/>
  <c r="I133" i="5" s="1"/>
  <c r="J133" i="1"/>
  <c r="J133" i="5" s="1"/>
  <c r="K133" i="1"/>
  <c r="K133" i="5" s="1"/>
  <c r="H133" i="1"/>
  <c r="H133" i="5" s="1"/>
  <c r="P134" i="1"/>
  <c r="P134" i="5" s="1"/>
  <c r="Q134" i="1"/>
  <c r="Q134" i="5" s="1"/>
  <c r="R134" i="1"/>
  <c r="R134" i="5" s="1"/>
  <c r="S134" i="1"/>
  <c r="S134" i="5" s="1"/>
  <c r="T133" i="1"/>
  <c r="T133" i="5" s="1"/>
  <c r="M133" i="1"/>
  <c r="M133" i="5" s="1"/>
  <c r="U134" i="1"/>
  <c r="U134" i="5" s="1"/>
  <c r="P133" i="1"/>
  <c r="P133" i="5" s="1"/>
  <c r="M135" i="1"/>
  <c r="M135" i="5" s="1"/>
  <c r="R133" i="1"/>
  <c r="R133" i="5" s="1"/>
  <c r="I134" i="1"/>
  <c r="I134" i="5" s="1"/>
  <c r="N133" i="1"/>
  <c r="N133" i="5" s="1"/>
  <c r="F135" i="1"/>
  <c r="F135" i="5" s="1"/>
  <c r="G135" i="1"/>
  <c r="G135" i="5" s="1"/>
  <c r="H135" i="1"/>
  <c r="H135" i="5" s="1"/>
  <c r="Q133" i="1"/>
  <c r="Q133" i="5" s="1"/>
  <c r="N135" i="1"/>
  <c r="N135" i="5" s="1"/>
  <c r="S133" i="1"/>
  <c r="S133" i="5" s="1"/>
  <c r="R135" i="1"/>
  <c r="R135" i="5" s="1"/>
  <c r="E119" i="1"/>
  <c r="E119" i="5" s="1"/>
  <c r="J117" i="1"/>
  <c r="J117" i="5" s="1"/>
  <c r="G119" i="1"/>
  <c r="G119" i="5" s="1"/>
  <c r="L117" i="1"/>
  <c r="L117" i="5" s="1"/>
  <c r="H119" i="1"/>
  <c r="H119" i="5" s="1"/>
  <c r="M117" i="1"/>
  <c r="M117" i="5" s="1"/>
  <c r="P119" i="1"/>
  <c r="P119" i="5" s="1"/>
  <c r="T117" i="1"/>
  <c r="T117" i="5" s="1"/>
  <c r="U118" i="1"/>
  <c r="U118" i="5" s="1"/>
  <c r="F119" i="1"/>
  <c r="F119" i="5" s="1"/>
  <c r="S118" i="1"/>
  <c r="S118" i="5" s="1"/>
  <c r="N117" i="1"/>
  <c r="N117" i="5" s="1"/>
  <c r="Q119" i="1"/>
  <c r="Q119" i="5" s="1"/>
  <c r="T118" i="1"/>
  <c r="T118" i="5" s="1"/>
  <c r="R119" i="1"/>
  <c r="R119" i="5" s="1"/>
  <c r="Q117" i="1"/>
  <c r="Q117" i="5" s="1"/>
  <c r="S117" i="1"/>
  <c r="S117" i="5" s="1"/>
  <c r="P117" i="1"/>
  <c r="P117" i="5" s="1"/>
  <c r="T119" i="1"/>
  <c r="T119" i="5" s="1"/>
  <c r="U119" i="1"/>
  <c r="U119" i="5" s="1"/>
  <c r="R117" i="1"/>
  <c r="R117" i="5" s="1"/>
  <c r="L118" i="1"/>
  <c r="L118" i="5" s="1"/>
  <c r="R118" i="1"/>
  <c r="R118" i="5" s="1"/>
  <c r="I117" i="1"/>
  <c r="I117" i="5" s="1"/>
  <c r="M118" i="1"/>
  <c r="M118" i="5" s="1"/>
  <c r="N118" i="1"/>
  <c r="N118" i="5" s="1"/>
  <c r="P118" i="1"/>
  <c r="P118" i="5" s="1"/>
  <c r="Q118" i="1"/>
  <c r="Q118" i="5" s="1"/>
  <c r="H117" i="1"/>
  <c r="H117" i="5" s="1"/>
  <c r="F117" i="1"/>
  <c r="F117" i="5" s="1"/>
  <c r="J118" i="1"/>
  <c r="J118" i="5" s="1"/>
  <c r="E116" i="1"/>
  <c r="E116" i="5" s="1"/>
  <c r="M116" i="1"/>
  <c r="M116" i="5" s="1"/>
  <c r="S116" i="1"/>
  <c r="S116" i="5" s="1"/>
  <c r="F116" i="1"/>
  <c r="F116" i="5" s="1"/>
  <c r="G116" i="1"/>
  <c r="G116" i="5" s="1"/>
  <c r="N116" i="1"/>
  <c r="N116" i="5" s="1"/>
  <c r="Q116" i="1"/>
  <c r="Q116" i="5" s="1"/>
  <c r="R116" i="1"/>
  <c r="R116" i="5" s="1"/>
  <c r="O116" i="1"/>
  <c r="O116" i="5" s="1"/>
  <c r="P116" i="1"/>
  <c r="P116" i="5" s="1"/>
  <c r="T116" i="1"/>
  <c r="T116" i="5" s="1"/>
  <c r="U116" i="1"/>
  <c r="U116" i="5" s="1"/>
  <c r="H116" i="1"/>
  <c r="H116" i="5" s="1"/>
  <c r="E120" i="1"/>
  <c r="E120" i="5" s="1"/>
  <c r="M121" i="1"/>
  <c r="M121" i="5" s="1"/>
  <c r="N121" i="1"/>
  <c r="N121" i="5" s="1"/>
  <c r="O121" i="1"/>
  <c r="O121" i="5" s="1"/>
  <c r="I120" i="1"/>
  <c r="I120" i="5" s="1"/>
  <c r="N122" i="1"/>
  <c r="N122" i="5" s="1"/>
  <c r="Q120" i="1"/>
  <c r="Q120" i="5" s="1"/>
  <c r="S120" i="1"/>
  <c r="S120" i="5" s="1"/>
  <c r="P121" i="1"/>
  <c r="P121" i="5" s="1"/>
  <c r="Q121" i="1"/>
  <c r="Q121" i="5" s="1"/>
  <c r="G122" i="1"/>
  <c r="G122" i="5" s="1"/>
  <c r="M122" i="1"/>
  <c r="M122" i="5" s="1"/>
  <c r="S121" i="1"/>
  <c r="S121" i="5" s="1"/>
  <c r="U121" i="1"/>
  <c r="U121" i="5" s="1"/>
  <c r="F120" i="1"/>
  <c r="F120" i="5" s="1"/>
  <c r="H120" i="1"/>
  <c r="H120" i="5" s="1"/>
  <c r="J120" i="1"/>
  <c r="J120" i="5" s="1"/>
  <c r="P122" i="1"/>
  <c r="P122" i="5" s="1"/>
  <c r="R122" i="1"/>
  <c r="R122" i="5" s="1"/>
  <c r="M120" i="1"/>
  <c r="M120" i="5" s="1"/>
  <c r="O120" i="1"/>
  <c r="O120" i="5" s="1"/>
  <c r="T122" i="1"/>
  <c r="T122" i="5" s="1"/>
  <c r="K120" i="1"/>
  <c r="K120" i="5" s="1"/>
  <c r="Q122" i="1"/>
  <c r="Q122" i="5" s="1"/>
  <c r="L120" i="1"/>
  <c r="L120" i="5" s="1"/>
  <c r="S122" i="1"/>
  <c r="S122" i="5" s="1"/>
  <c r="U122" i="1"/>
  <c r="U122" i="5" s="1"/>
  <c r="I121" i="1"/>
  <c r="I121" i="5" s="1"/>
  <c r="J121" i="1"/>
  <c r="J121" i="5" s="1"/>
  <c r="L121" i="1"/>
  <c r="L121" i="5" s="1"/>
  <c r="I118" i="1"/>
  <c r="I118" i="5" s="1"/>
  <c r="H132" i="1"/>
  <c r="H132" i="5" s="1"/>
  <c r="F134" i="1"/>
  <c r="F134" i="5" s="1"/>
  <c r="E125" i="1"/>
  <c r="E125" i="5" s="1"/>
  <c r="N125" i="1"/>
  <c r="N125" i="5" s="1"/>
  <c r="S127" i="1"/>
  <c r="S127" i="5" s="1"/>
  <c r="O125" i="1"/>
  <c r="O125" i="5" s="1"/>
  <c r="T127" i="1"/>
  <c r="T127" i="5" s="1"/>
  <c r="Q125" i="1"/>
  <c r="Q125" i="5" s="1"/>
  <c r="U127" i="1"/>
  <c r="U127" i="5" s="1"/>
  <c r="N126" i="1"/>
  <c r="N126" i="5" s="1"/>
  <c r="O126" i="1"/>
  <c r="O126" i="5" s="1"/>
  <c r="P127" i="1"/>
  <c r="P127" i="5" s="1"/>
  <c r="Q127" i="1"/>
  <c r="Q127" i="5" s="1"/>
  <c r="M125" i="1"/>
  <c r="M125" i="5" s="1"/>
  <c r="R127" i="1"/>
  <c r="R127" i="5" s="1"/>
  <c r="S125" i="1"/>
  <c r="S125" i="5" s="1"/>
  <c r="I125" i="1"/>
  <c r="I125" i="5" s="1"/>
  <c r="J125" i="1"/>
  <c r="J125" i="5" s="1"/>
  <c r="I126" i="1"/>
  <c r="I126" i="5" s="1"/>
  <c r="M126" i="1"/>
  <c r="M126" i="5" s="1"/>
  <c r="J126" i="1"/>
  <c r="J126" i="5" s="1"/>
  <c r="L126" i="1"/>
  <c r="L126" i="5" s="1"/>
  <c r="P126" i="1"/>
  <c r="P126" i="5" s="1"/>
  <c r="F125" i="1"/>
  <c r="F125" i="5" s="1"/>
  <c r="M127" i="1"/>
  <c r="M127" i="5" s="1"/>
  <c r="Q126" i="1"/>
  <c r="Q126" i="5" s="1"/>
  <c r="S126" i="1"/>
  <c r="S126" i="5" s="1"/>
  <c r="U126" i="1"/>
  <c r="U126" i="5" s="1"/>
  <c r="H125" i="1"/>
  <c r="H125" i="5" s="1"/>
  <c r="G127" i="1"/>
  <c r="G127" i="5" s="1"/>
  <c r="N127" i="1"/>
  <c r="N127" i="5" s="1"/>
  <c r="L125" i="1"/>
  <c r="L125" i="5" s="1"/>
  <c r="M119" i="1"/>
  <c r="M119" i="5" s="1"/>
  <c r="J135" i="1"/>
  <c r="J135" i="5" s="1"/>
  <c r="K132" i="1"/>
  <c r="K132" i="5" s="1"/>
  <c r="F111" i="1"/>
  <c r="F111" i="5" s="1"/>
  <c r="E130" i="1"/>
  <c r="E130" i="5" s="1"/>
  <c r="S130" i="1"/>
  <c r="S130" i="5" s="1"/>
  <c r="T130" i="1"/>
  <c r="T130" i="5" s="1"/>
  <c r="U130" i="1"/>
  <c r="U130" i="5" s="1"/>
  <c r="M130" i="1"/>
  <c r="M130" i="5" s="1"/>
  <c r="K130" i="1"/>
  <c r="K130" i="5" s="1"/>
  <c r="Q130" i="1"/>
  <c r="Q130" i="5" s="1"/>
  <c r="I130" i="1"/>
  <c r="I130" i="5" s="1"/>
  <c r="J130" i="1"/>
  <c r="J130" i="5" s="1"/>
  <c r="L130" i="1"/>
  <c r="L130" i="5" s="1"/>
  <c r="O130" i="1"/>
  <c r="O130" i="5" s="1"/>
  <c r="N130" i="1"/>
  <c r="N130" i="5" s="1"/>
  <c r="P130" i="1"/>
  <c r="P130" i="5" s="1"/>
  <c r="K127" i="1"/>
  <c r="K127" i="5" s="1"/>
  <c r="H126" i="1"/>
  <c r="H126" i="5" s="1"/>
  <c r="G117" i="1"/>
  <c r="G117" i="5" s="1"/>
  <c r="E115" i="1"/>
  <c r="E115" i="5" s="1"/>
  <c r="H114" i="1"/>
  <c r="H114" i="5" s="1"/>
  <c r="O115" i="1"/>
  <c r="O115" i="5" s="1"/>
  <c r="I114" i="1"/>
  <c r="I114" i="5" s="1"/>
  <c r="P115" i="1"/>
  <c r="P115" i="5" s="1"/>
  <c r="J114" i="1"/>
  <c r="J114" i="5" s="1"/>
  <c r="Q115" i="1"/>
  <c r="Q115" i="5" s="1"/>
  <c r="J113" i="1"/>
  <c r="J113" i="5" s="1"/>
  <c r="Q114" i="1"/>
  <c r="Q114" i="5" s="1"/>
  <c r="L115" i="1"/>
  <c r="L115" i="5" s="1"/>
  <c r="P113" i="1"/>
  <c r="P113" i="5" s="1"/>
  <c r="M115" i="1"/>
  <c r="M115" i="5" s="1"/>
  <c r="K114" i="1"/>
  <c r="K114" i="5" s="1"/>
  <c r="R115" i="1"/>
  <c r="R115" i="5" s="1"/>
  <c r="N115" i="1"/>
  <c r="N115" i="5" s="1"/>
  <c r="L114" i="1"/>
  <c r="L114" i="5" s="1"/>
  <c r="S115" i="1"/>
  <c r="S115" i="5" s="1"/>
  <c r="I113" i="1"/>
  <c r="I113" i="5" s="1"/>
  <c r="F113" i="1"/>
  <c r="F113" i="5" s="1"/>
  <c r="M114" i="1"/>
  <c r="M114" i="5" s="1"/>
  <c r="T115" i="1"/>
  <c r="T115" i="5" s="1"/>
  <c r="G113" i="1"/>
  <c r="G113" i="5" s="1"/>
  <c r="N114" i="1"/>
  <c r="N114" i="5" s="1"/>
  <c r="U115" i="1"/>
  <c r="U115" i="5" s="1"/>
  <c r="H113" i="1"/>
  <c r="H113" i="5" s="1"/>
  <c r="O114" i="1"/>
  <c r="O114" i="5" s="1"/>
  <c r="P114" i="1"/>
  <c r="P114" i="5" s="1"/>
  <c r="Q113" i="1"/>
  <c r="Q113" i="5" s="1"/>
  <c r="K113" i="1"/>
  <c r="K113" i="5" s="1"/>
  <c r="R114" i="1"/>
  <c r="R114" i="5" s="1"/>
  <c r="N113" i="1"/>
  <c r="N113" i="5" s="1"/>
  <c r="H115" i="1"/>
  <c r="H115" i="5" s="1"/>
  <c r="S113" i="1"/>
  <c r="S113" i="5" s="1"/>
  <c r="L113" i="1"/>
  <c r="L113" i="5" s="1"/>
  <c r="S114" i="1"/>
  <c r="S114" i="5" s="1"/>
  <c r="M113" i="1"/>
  <c r="M113" i="5" s="1"/>
  <c r="U114" i="1"/>
  <c r="U114" i="5" s="1"/>
  <c r="F115" i="1"/>
  <c r="F115" i="5" s="1"/>
  <c r="G115" i="1"/>
  <c r="G115" i="5" s="1"/>
  <c r="T114" i="1"/>
  <c r="T114" i="5" s="1"/>
  <c r="U133" i="1"/>
  <c r="U133" i="5" s="1"/>
  <c r="E129" i="1"/>
  <c r="E129" i="5" s="1"/>
  <c r="H129" i="1"/>
  <c r="H129" i="5" s="1"/>
  <c r="I129" i="1"/>
  <c r="I129" i="5" s="1"/>
  <c r="J129" i="1"/>
  <c r="J129" i="5" s="1"/>
  <c r="R129" i="1"/>
  <c r="R129" i="5" s="1"/>
  <c r="K129" i="1"/>
  <c r="K129" i="5" s="1"/>
  <c r="L129" i="1"/>
  <c r="L129" i="5" s="1"/>
  <c r="O129" i="1"/>
  <c r="O129" i="5" s="1"/>
  <c r="P129" i="1"/>
  <c r="P129" i="5" s="1"/>
  <c r="M129" i="1"/>
  <c r="M129" i="5" s="1"/>
  <c r="Q129" i="1"/>
  <c r="Q129" i="5" s="1"/>
  <c r="S129" i="1"/>
  <c r="S129" i="5" s="1"/>
  <c r="F129" i="1"/>
  <c r="F129" i="5" s="1"/>
  <c r="G129" i="1"/>
  <c r="G129" i="5" s="1"/>
  <c r="T129" i="1"/>
  <c r="T129" i="5" s="1"/>
  <c r="I124" i="1"/>
  <c r="I124" i="5" s="1"/>
  <c r="H122" i="1"/>
  <c r="H122" i="5" s="1"/>
  <c r="K115" i="1"/>
  <c r="K115" i="5" s="1"/>
  <c r="E123" i="1"/>
  <c r="E123" i="5" s="1"/>
  <c r="Q123" i="1"/>
  <c r="Q123" i="5" s="1"/>
  <c r="R123" i="1"/>
  <c r="R123" i="5" s="1"/>
  <c r="S123" i="1"/>
  <c r="S123" i="5" s="1"/>
  <c r="N123" i="1"/>
  <c r="N123" i="5" s="1"/>
  <c r="T123" i="1"/>
  <c r="T123" i="5" s="1"/>
  <c r="U123" i="1"/>
  <c r="U123" i="5" s="1"/>
  <c r="M123" i="1"/>
  <c r="M123" i="5" s="1"/>
  <c r="L123" i="1"/>
  <c r="L123" i="5" s="1"/>
  <c r="P123" i="1"/>
  <c r="P123" i="5" s="1"/>
  <c r="N124" i="1"/>
  <c r="N124" i="5" s="1"/>
  <c r="J119" i="1"/>
  <c r="J119" i="5" s="1"/>
  <c r="I110" i="1"/>
  <c r="I110" i="5" s="1"/>
  <c r="Q112" i="1"/>
  <c r="Q112" i="5" s="1"/>
  <c r="J110" i="1"/>
  <c r="J110" i="5" s="1"/>
  <c r="R112" i="1"/>
  <c r="R112" i="5" s="1"/>
  <c r="K110" i="1"/>
  <c r="K110" i="5" s="1"/>
  <c r="S112" i="1"/>
  <c r="S112" i="5" s="1"/>
  <c r="L111" i="1"/>
  <c r="L111" i="5" s="1"/>
  <c r="F110" i="1"/>
  <c r="F110" i="5" s="1"/>
  <c r="N112" i="1"/>
  <c r="N112" i="5" s="1"/>
  <c r="L110" i="1"/>
  <c r="L110" i="5" s="1"/>
  <c r="T112" i="1"/>
  <c r="T112" i="5" s="1"/>
  <c r="M110" i="1"/>
  <c r="M110" i="5" s="1"/>
  <c r="U112" i="1"/>
  <c r="U112" i="5" s="1"/>
  <c r="S110" i="1"/>
  <c r="S110" i="5" s="1"/>
  <c r="H110" i="1"/>
  <c r="H110" i="5" s="1"/>
  <c r="O110" i="1"/>
  <c r="O110" i="5" s="1"/>
  <c r="I111" i="1"/>
  <c r="I111" i="5" s="1"/>
  <c r="J111" i="1"/>
  <c r="J111" i="5" s="1"/>
  <c r="M111" i="1"/>
  <c r="M111" i="5" s="1"/>
  <c r="S111" i="1"/>
  <c r="S111" i="5" s="1"/>
  <c r="M112" i="1"/>
  <c r="M112" i="5" s="1"/>
  <c r="N111" i="1"/>
  <c r="N111" i="5" s="1"/>
  <c r="O111" i="1"/>
  <c r="O111" i="5" s="1"/>
  <c r="P111" i="1"/>
  <c r="P111" i="5" s="1"/>
  <c r="Q111" i="1"/>
  <c r="Q111" i="5" s="1"/>
  <c r="G112" i="1"/>
  <c r="G112" i="5" s="1"/>
  <c r="P112" i="1"/>
  <c r="P112" i="5" s="1"/>
  <c r="F121" i="1"/>
  <c r="F121" i="5" s="1"/>
  <c r="U128" i="1"/>
  <c r="U128" i="5" s="1"/>
  <c r="F127" i="1"/>
  <c r="F127" i="5" s="1"/>
  <c r="E131" i="1"/>
  <c r="E131" i="5" s="1"/>
  <c r="P131" i="1"/>
  <c r="P131" i="5" s="1"/>
  <c r="F131" i="1"/>
  <c r="F131" i="5" s="1"/>
  <c r="G131" i="1"/>
  <c r="G131" i="5" s="1"/>
  <c r="Q131" i="1"/>
  <c r="Q131" i="5" s="1"/>
  <c r="M131" i="1"/>
  <c r="M131" i="5" s="1"/>
  <c r="N131" i="1"/>
  <c r="N131" i="5" s="1"/>
  <c r="O131" i="1"/>
  <c r="O131" i="5" s="1"/>
  <c r="R131" i="1"/>
  <c r="R131" i="5" s="1"/>
  <c r="S131" i="1"/>
  <c r="S131" i="5" s="1"/>
  <c r="T131" i="1"/>
  <c r="T131" i="5" s="1"/>
  <c r="U131" i="1"/>
  <c r="U131" i="5" s="1"/>
  <c r="M124" i="1"/>
  <c r="M124" i="5" s="1"/>
  <c r="R130" i="1"/>
  <c r="R130" i="5" s="1"/>
  <c r="O112" i="1"/>
  <c r="O112" i="5" s="1"/>
  <c r="G134" i="1"/>
  <c r="G134" i="5" s="1"/>
  <c r="K122" i="1"/>
  <c r="K122" i="5" s="1"/>
  <c r="F123" i="1"/>
  <c r="F123" i="5" s="1"/>
  <c r="H121" i="1"/>
  <c r="H121" i="5" s="1"/>
  <c r="O119" i="1"/>
  <c r="O119" i="5" s="1"/>
  <c r="E127" i="1"/>
  <c r="E127" i="5" s="1"/>
  <c r="E126" i="1"/>
  <c r="E126" i="5" s="1"/>
  <c r="E122" i="1"/>
  <c r="E122" i="5" s="1"/>
  <c r="E114" i="1"/>
  <c r="E114" i="5" s="1"/>
  <c r="E113" i="1"/>
  <c r="E113" i="5" s="1"/>
  <c r="E134" i="1"/>
  <c r="E134" i="5" s="1"/>
  <c r="E121" i="1"/>
  <c r="E121" i="5" s="1"/>
  <c r="E117" i="1"/>
  <c r="E117" i="5" s="1"/>
  <c r="T4" i="1"/>
  <c r="T3" i="1"/>
  <c r="E111" i="1"/>
  <c r="E111" i="5" s="1"/>
  <c r="E112" i="1"/>
  <c r="E112" i="5" s="1"/>
  <c r="E110" i="1"/>
  <c r="E110" i="5" s="1"/>
  <c r="E13" i="6" l="1"/>
  <c r="K117" i="1"/>
  <c r="K117" i="5" s="1"/>
  <c r="U107" i="1"/>
  <c r="U107" i="5" s="1"/>
  <c r="U92" i="1"/>
  <c r="U92" i="5" s="1"/>
  <c r="U95" i="1"/>
  <c r="U95" i="5" s="1"/>
  <c r="R120" i="1"/>
  <c r="R120" i="5" s="1"/>
  <c r="Y76" i="5"/>
  <c r="O78" i="5"/>
  <c r="O92" i="1"/>
  <c r="O92" i="5" s="1"/>
  <c r="O85" i="1"/>
  <c r="O107" i="1"/>
  <c r="O107" i="5" s="1"/>
  <c r="O98" i="1"/>
  <c r="O98" i="5" s="1"/>
  <c r="O101" i="1"/>
  <c r="O101" i="5" s="1"/>
  <c r="O89" i="1"/>
  <c r="O89" i="5" s="1"/>
  <c r="O95" i="1"/>
  <c r="O95" i="5" s="1"/>
  <c r="T95" i="1"/>
  <c r="T95" i="5" s="1"/>
  <c r="T78" i="5"/>
  <c r="T101" i="1"/>
  <c r="T101" i="5" s="1"/>
  <c r="T107" i="1"/>
  <c r="T107" i="5" s="1"/>
  <c r="T82" i="1"/>
  <c r="T82" i="5" s="1"/>
  <c r="T98" i="1"/>
  <c r="T98" i="5" s="1"/>
  <c r="T92" i="1"/>
  <c r="T92" i="5" s="1"/>
  <c r="K82" i="1"/>
  <c r="K82" i="5" s="1"/>
  <c r="K78" i="5"/>
  <c r="K107" i="1"/>
  <c r="K107" i="5" s="1"/>
  <c r="K89" i="1"/>
  <c r="K89" i="5" s="1"/>
  <c r="K98" i="1"/>
  <c r="K98" i="5" s="1"/>
  <c r="K101" i="1"/>
  <c r="K101" i="5" s="1"/>
  <c r="K92" i="1"/>
  <c r="K92" i="5" s="1"/>
  <c r="K95" i="1"/>
  <c r="K95" i="5" s="1"/>
  <c r="R78" i="5"/>
  <c r="R92" i="1"/>
  <c r="R92" i="5" s="1"/>
  <c r="R89" i="1"/>
  <c r="R89" i="5" s="1"/>
  <c r="R95" i="1"/>
  <c r="R95" i="5" s="1"/>
  <c r="R107" i="1"/>
  <c r="R107" i="5" s="1"/>
  <c r="R101" i="1"/>
  <c r="R101" i="5" s="1"/>
  <c r="R82" i="1"/>
  <c r="R82" i="5" s="1"/>
  <c r="R98" i="1"/>
  <c r="R98" i="5" s="1"/>
  <c r="G107" i="1"/>
  <c r="G107" i="5" s="1"/>
  <c r="G78" i="5"/>
  <c r="G95" i="1"/>
  <c r="G95" i="5" s="1"/>
  <c r="G89" i="1"/>
  <c r="G89" i="5" s="1"/>
  <c r="G82" i="1"/>
  <c r="G101" i="1"/>
  <c r="G101" i="5" s="1"/>
  <c r="G98" i="1"/>
  <c r="G98" i="5" s="1"/>
  <c r="G92" i="1"/>
  <c r="G92" i="5" s="1"/>
  <c r="L78" i="5"/>
  <c r="L82" i="1"/>
  <c r="L82" i="5" s="1"/>
  <c r="L101" i="1"/>
  <c r="L101" i="5" s="1"/>
  <c r="L98" i="1"/>
  <c r="L98" i="5" s="1"/>
  <c r="L107" i="1"/>
  <c r="L107" i="5" s="1"/>
  <c r="L95" i="1"/>
  <c r="L95" i="5" s="1"/>
  <c r="L89" i="1"/>
  <c r="L89" i="5" s="1"/>
  <c r="L92" i="1"/>
  <c r="L92" i="5" s="1"/>
  <c r="O133" i="1"/>
  <c r="O133" i="5" s="1"/>
  <c r="Y133" i="5" s="1"/>
  <c r="N78" i="5"/>
  <c r="N95" i="1"/>
  <c r="N95" i="5" s="1"/>
  <c r="N82" i="1"/>
  <c r="N82" i="5" s="1"/>
  <c r="N89" i="1"/>
  <c r="N89" i="5" s="1"/>
  <c r="N107" i="1"/>
  <c r="N107" i="5" s="1"/>
  <c r="N98" i="1"/>
  <c r="N98" i="5" s="1"/>
  <c r="N92" i="1"/>
  <c r="N92" i="5" s="1"/>
  <c r="N101" i="1"/>
  <c r="N101" i="5" s="1"/>
  <c r="I92" i="1"/>
  <c r="I92" i="5" s="1"/>
  <c r="I78" i="5"/>
  <c r="I82" i="1"/>
  <c r="I82" i="5" s="1"/>
  <c r="I101" i="1"/>
  <c r="I101" i="5" s="1"/>
  <c r="I107" i="1"/>
  <c r="I107" i="5" s="1"/>
  <c r="I89" i="1"/>
  <c r="I89" i="5" s="1"/>
  <c r="I95" i="1"/>
  <c r="I95" i="5" s="1"/>
  <c r="I98" i="1"/>
  <c r="I98" i="5" s="1"/>
  <c r="O113" i="1"/>
  <c r="O113" i="5" s="1"/>
  <c r="G125" i="1"/>
  <c r="G125" i="5" s="1"/>
  <c r="Y125" i="5" s="1"/>
  <c r="Y78" i="1"/>
  <c r="M78" i="5"/>
  <c r="M98" i="1"/>
  <c r="M98" i="5" s="1"/>
  <c r="M89" i="1"/>
  <c r="M89" i="5" s="1"/>
  <c r="M82" i="1"/>
  <c r="M82" i="5" s="1"/>
  <c r="M92" i="1"/>
  <c r="M92" i="5" s="1"/>
  <c r="M95" i="1"/>
  <c r="M95" i="5" s="1"/>
  <c r="M107" i="1"/>
  <c r="M107" i="5" s="1"/>
  <c r="M101" i="1"/>
  <c r="M101" i="5" s="1"/>
  <c r="Y83" i="5"/>
  <c r="E12" i="6" s="1"/>
  <c r="Q78" i="5"/>
  <c r="Q95" i="1"/>
  <c r="Q95" i="5" s="1"/>
  <c r="Q98" i="1"/>
  <c r="Q98" i="5" s="1"/>
  <c r="Q101" i="1"/>
  <c r="Q101" i="5" s="1"/>
  <c r="Q107" i="1"/>
  <c r="Q107" i="5" s="1"/>
  <c r="Q92" i="1"/>
  <c r="Q92" i="5" s="1"/>
  <c r="Q82" i="1"/>
  <c r="Q82" i="5" s="1"/>
  <c r="Q89" i="1"/>
  <c r="Q89" i="5" s="1"/>
  <c r="T113" i="1"/>
  <c r="T113" i="5" s="1"/>
  <c r="G110" i="1"/>
  <c r="G110" i="5" s="1"/>
  <c r="T110" i="1"/>
  <c r="T110" i="5" s="1"/>
  <c r="J98" i="1"/>
  <c r="J98" i="5" s="1"/>
  <c r="J78" i="5"/>
  <c r="J89" i="1"/>
  <c r="J89" i="5" s="1"/>
  <c r="J101" i="1"/>
  <c r="J101" i="5" s="1"/>
  <c r="J107" i="1"/>
  <c r="J107" i="5" s="1"/>
  <c r="J95" i="1"/>
  <c r="J95" i="5" s="1"/>
  <c r="J82" i="1"/>
  <c r="J82" i="5" s="1"/>
  <c r="J92" i="1"/>
  <c r="J92" i="5" s="1"/>
  <c r="O117" i="1"/>
  <c r="O117" i="5" s="1"/>
  <c r="P78" i="5"/>
  <c r="P95" i="1"/>
  <c r="P95" i="5" s="1"/>
  <c r="P107" i="1"/>
  <c r="P107" i="5" s="1"/>
  <c r="P92" i="1"/>
  <c r="P92" i="5" s="1"/>
  <c r="P101" i="1"/>
  <c r="P101" i="5" s="1"/>
  <c r="P98" i="1"/>
  <c r="P98" i="5" s="1"/>
  <c r="P89" i="1"/>
  <c r="P89" i="5" s="1"/>
  <c r="T128" i="1"/>
  <c r="T128" i="5" s="1"/>
  <c r="Y128" i="5" s="1"/>
  <c r="S78" i="5"/>
  <c r="S92" i="1"/>
  <c r="S92" i="5" s="1"/>
  <c r="S95" i="1"/>
  <c r="S95" i="5" s="1"/>
  <c r="S98" i="1"/>
  <c r="S98" i="5" s="1"/>
  <c r="S89" i="1"/>
  <c r="S89" i="5" s="1"/>
  <c r="S107" i="1"/>
  <c r="S107" i="5" s="1"/>
  <c r="S101" i="1"/>
  <c r="S101" i="5" s="1"/>
  <c r="S82" i="1"/>
  <c r="S82" i="5" s="1"/>
  <c r="H101" i="1"/>
  <c r="H101" i="5" s="1"/>
  <c r="H78" i="5"/>
  <c r="H98" i="1"/>
  <c r="H98" i="5" s="1"/>
  <c r="H95" i="1"/>
  <c r="H95" i="5" s="1"/>
  <c r="H82" i="1"/>
  <c r="H82" i="5" s="1"/>
  <c r="H89" i="1"/>
  <c r="H89" i="5" s="1"/>
  <c r="H92" i="1"/>
  <c r="H92" i="5" s="1"/>
  <c r="H107" i="1"/>
  <c r="H107" i="5" s="1"/>
  <c r="N129" i="1"/>
  <c r="N129" i="5" s="1"/>
  <c r="Y129" i="5" s="1"/>
  <c r="F78" i="5"/>
  <c r="F95" i="1"/>
  <c r="F95" i="5" s="1"/>
  <c r="F101" i="1"/>
  <c r="F101" i="5" s="1"/>
  <c r="F98" i="1"/>
  <c r="F98" i="5" s="1"/>
  <c r="F107" i="1"/>
  <c r="F107" i="5" s="1"/>
  <c r="F89" i="1"/>
  <c r="F89" i="5" s="1"/>
  <c r="F92" i="1"/>
  <c r="F92" i="5" s="1"/>
  <c r="U161" i="4"/>
  <c r="N161" i="4"/>
  <c r="N167" i="4"/>
  <c r="W136" i="1"/>
  <c r="W110" i="5"/>
  <c r="W168" i="4"/>
  <c r="W162" i="4"/>
  <c r="V168" i="4"/>
  <c r="V162" i="4"/>
  <c r="X155" i="4"/>
  <c r="X161" i="4"/>
  <c r="X167" i="4"/>
  <c r="W145" i="4"/>
  <c r="W148" i="4"/>
  <c r="W146" i="4"/>
  <c r="W155" i="4"/>
  <c r="W161" i="4"/>
  <c r="W167" i="4"/>
  <c r="V145" i="4"/>
  <c r="V148" i="4"/>
  <c r="V146" i="4"/>
  <c r="Y127" i="5"/>
  <c r="Y132" i="5"/>
  <c r="V155" i="4"/>
  <c r="V161" i="4"/>
  <c r="V167" i="4"/>
  <c r="X145" i="4"/>
  <c r="X148" i="4"/>
  <c r="X146" i="4"/>
  <c r="Y124" i="5"/>
  <c r="Y131" i="5"/>
  <c r="Y116" i="5"/>
  <c r="X156" i="4"/>
  <c r="X162" i="4"/>
  <c r="X168" i="4"/>
  <c r="Y115" i="5"/>
  <c r="Y122" i="5"/>
  <c r="Y119" i="5"/>
  <c r="M161" i="4"/>
  <c r="M155" i="4"/>
  <c r="Y93" i="5"/>
  <c r="Y121" i="5"/>
  <c r="Y130" i="5"/>
  <c r="Y114" i="5"/>
  <c r="Y102" i="5"/>
  <c r="Y123" i="5"/>
  <c r="Y126" i="5"/>
  <c r="Y118" i="5"/>
  <c r="Y108" i="5"/>
  <c r="Y99" i="5"/>
  <c r="V138" i="1"/>
  <c r="Y120" i="5"/>
  <c r="U96" i="1"/>
  <c r="U96" i="5" s="1"/>
  <c r="Y96" i="5" s="1"/>
  <c r="U79" i="5"/>
  <c r="Y79" i="5" s="1"/>
  <c r="E9" i="6" s="1"/>
  <c r="X138" i="1"/>
  <c r="W138" i="1"/>
  <c r="V136" i="1"/>
  <c r="X136" i="1"/>
  <c r="W137" i="1"/>
  <c r="V137" i="1"/>
  <c r="X137" i="1"/>
  <c r="R146" i="4"/>
  <c r="G167" i="4"/>
  <c r="G161" i="4"/>
  <c r="Y112" i="5"/>
  <c r="Y135" i="5"/>
  <c r="Y134" i="5"/>
  <c r="Y111" i="5"/>
  <c r="P162" i="4"/>
  <c r="T143" i="4"/>
  <c r="T149" i="4" s="1"/>
  <c r="T161" i="4" s="1"/>
  <c r="H146" i="4"/>
  <c r="G162" i="4"/>
  <c r="R161" i="4"/>
  <c r="I155" i="4"/>
  <c r="G168" i="4"/>
  <c r="I167" i="4"/>
  <c r="H156" i="4"/>
  <c r="H168" i="4"/>
  <c r="R148" i="4"/>
  <c r="R160" i="4" s="1"/>
  <c r="U167" i="4"/>
  <c r="O162" i="4"/>
  <c r="Q155" i="4"/>
  <c r="Q167" i="4"/>
  <c r="R156" i="4"/>
  <c r="O156" i="4"/>
  <c r="R162" i="4"/>
  <c r="F155" i="4"/>
  <c r="F167" i="4"/>
  <c r="R155" i="4"/>
  <c r="Q162" i="4"/>
  <c r="H155" i="4"/>
  <c r="Q168" i="4"/>
  <c r="H167" i="4"/>
  <c r="Q145" i="4"/>
  <c r="P168" i="4"/>
  <c r="F156" i="4"/>
  <c r="U168" i="4"/>
  <c r="I146" i="4"/>
  <c r="Q148" i="4"/>
  <c r="Q154" i="4" s="1"/>
  <c r="I162" i="4"/>
  <c r="O155" i="4"/>
  <c r="U156" i="4"/>
  <c r="Q146" i="4"/>
  <c r="O161" i="4"/>
  <c r="K146" i="4"/>
  <c r="U145" i="4"/>
  <c r="I156" i="4"/>
  <c r="I145" i="4"/>
  <c r="P161" i="4"/>
  <c r="S162" i="4"/>
  <c r="F162" i="4"/>
  <c r="U146" i="4"/>
  <c r="P155" i="4"/>
  <c r="S156" i="4"/>
  <c r="P146" i="4"/>
  <c r="H145" i="4"/>
  <c r="P145" i="4"/>
  <c r="R145" i="4"/>
  <c r="J145" i="4"/>
  <c r="L149" i="4"/>
  <c r="L151" i="4" s="1"/>
  <c r="L146" i="4"/>
  <c r="L145" i="4"/>
  <c r="M168" i="4"/>
  <c r="M156" i="4"/>
  <c r="M162" i="4"/>
  <c r="L154" i="4"/>
  <c r="L160" i="4"/>
  <c r="L166" i="4"/>
  <c r="K145" i="4"/>
  <c r="O145" i="4"/>
  <c r="O146" i="4"/>
  <c r="O148" i="4"/>
  <c r="K166" i="4"/>
  <c r="K154" i="4"/>
  <c r="K151" i="4"/>
  <c r="K160" i="4"/>
  <c r="K152" i="4"/>
  <c r="F145" i="4"/>
  <c r="F148" i="4"/>
  <c r="F146" i="4"/>
  <c r="Y136" i="4"/>
  <c r="E167" i="4"/>
  <c r="E161" i="4"/>
  <c r="E155" i="4"/>
  <c r="U160" i="4"/>
  <c r="U154" i="4"/>
  <c r="U152" i="4"/>
  <c r="U151" i="4"/>
  <c r="U166" i="4"/>
  <c r="S145" i="4"/>
  <c r="S160" i="4"/>
  <c r="S166" i="4"/>
  <c r="S151" i="4"/>
  <c r="S154" i="4"/>
  <c r="S152" i="4"/>
  <c r="J162" i="4"/>
  <c r="J168" i="4"/>
  <c r="J156" i="4"/>
  <c r="I152" i="4"/>
  <c r="I166" i="4"/>
  <c r="I154" i="4"/>
  <c r="I160" i="4"/>
  <c r="I151" i="4"/>
  <c r="J167" i="4"/>
  <c r="J155" i="4"/>
  <c r="J161" i="4"/>
  <c r="K168" i="4"/>
  <c r="K162" i="4"/>
  <c r="K156" i="4"/>
  <c r="Y137" i="4"/>
  <c r="G148" i="4"/>
  <c r="G145" i="4"/>
  <c r="G146" i="4"/>
  <c r="Y90" i="4"/>
  <c r="P151" i="4"/>
  <c r="P166" i="4"/>
  <c r="P154" i="4"/>
  <c r="P152" i="4"/>
  <c r="P160" i="4"/>
  <c r="E148" i="4"/>
  <c r="K167" i="4"/>
  <c r="K155" i="4"/>
  <c r="K161" i="4"/>
  <c r="H152" i="4"/>
  <c r="H166" i="4"/>
  <c r="H154" i="4"/>
  <c r="H160" i="4"/>
  <c r="H151" i="4"/>
  <c r="L168" i="4"/>
  <c r="L156" i="4"/>
  <c r="L162" i="4"/>
  <c r="S146" i="4"/>
  <c r="N145" i="4"/>
  <c r="N146" i="4"/>
  <c r="N148" i="4"/>
  <c r="T144" i="4"/>
  <c r="T150" i="4" s="1"/>
  <c r="Y91" i="4"/>
  <c r="N168" i="4"/>
  <c r="N156" i="4"/>
  <c r="N162" i="4"/>
  <c r="M146" i="4"/>
  <c r="M145" i="4"/>
  <c r="M148" i="4"/>
  <c r="Y138" i="4"/>
  <c r="E144" i="4"/>
  <c r="E146" i="4" s="1"/>
  <c r="S161" i="4"/>
  <c r="S167" i="4"/>
  <c r="S155" i="4"/>
  <c r="J146" i="4"/>
  <c r="J166" i="4"/>
  <c r="J154" i="4"/>
  <c r="J160" i="4"/>
  <c r="J151" i="4"/>
  <c r="J152" i="4"/>
  <c r="T142" i="4"/>
  <c r="Y89" i="4"/>
  <c r="Y83" i="1"/>
  <c r="Y102" i="1"/>
  <c r="Y93" i="1"/>
  <c r="Y108" i="1"/>
  <c r="Y99" i="1"/>
  <c r="J138" i="1"/>
  <c r="K138" i="1"/>
  <c r="I138" i="1"/>
  <c r="K137" i="1"/>
  <c r="Y131" i="1"/>
  <c r="Y130" i="1"/>
  <c r="Y132" i="1"/>
  <c r="F137" i="1"/>
  <c r="Y135" i="1"/>
  <c r="R136" i="1"/>
  <c r="Y118" i="1"/>
  <c r="Y123" i="1"/>
  <c r="Y121" i="1"/>
  <c r="T137" i="1"/>
  <c r="T137" i="5" s="1"/>
  <c r="F138" i="1"/>
  <c r="Y134" i="1"/>
  <c r="Y124" i="1"/>
  <c r="Y112" i="1"/>
  <c r="S138" i="1"/>
  <c r="O138" i="1"/>
  <c r="U137" i="1"/>
  <c r="Y114" i="1"/>
  <c r="Y122" i="1"/>
  <c r="U136" i="1"/>
  <c r="H137" i="1"/>
  <c r="Y111" i="1"/>
  <c r="H138" i="1"/>
  <c r="R137" i="1"/>
  <c r="Y133" i="1"/>
  <c r="Y115" i="1"/>
  <c r="Y126" i="1"/>
  <c r="Y119" i="1"/>
  <c r="L138" i="1"/>
  <c r="Y116" i="1"/>
  <c r="P136" i="1"/>
  <c r="P136" i="5" s="1"/>
  <c r="Y127" i="1"/>
  <c r="G137" i="1"/>
  <c r="Q136" i="1"/>
  <c r="Y125" i="1"/>
  <c r="H136" i="1"/>
  <c r="G138" i="1"/>
  <c r="L136" i="1"/>
  <c r="F136" i="1"/>
  <c r="P138" i="1"/>
  <c r="P138" i="5" s="1"/>
  <c r="P144" i="5" s="1"/>
  <c r="P150" i="5" s="1"/>
  <c r="P168" i="5" s="1"/>
  <c r="L137" i="1"/>
  <c r="P137" i="1"/>
  <c r="P137" i="5" s="1"/>
  <c r="P143" i="5" s="1"/>
  <c r="P149" i="5" s="1"/>
  <c r="Q138" i="1"/>
  <c r="N138" i="1"/>
  <c r="R138" i="1"/>
  <c r="I137" i="1"/>
  <c r="J136" i="1"/>
  <c r="T91" i="1"/>
  <c r="T90" i="1"/>
  <c r="T89" i="1"/>
  <c r="M138" i="1"/>
  <c r="S137" i="1"/>
  <c r="T138" i="1"/>
  <c r="T138" i="5" s="1"/>
  <c r="E136" i="1"/>
  <c r="E136" i="5" s="1"/>
  <c r="E142" i="5" s="1"/>
  <c r="O137" i="1"/>
  <c r="N137" i="1"/>
  <c r="M137" i="1"/>
  <c r="M136" i="1"/>
  <c r="J137" i="1"/>
  <c r="Q137" i="1"/>
  <c r="S136" i="1"/>
  <c r="I136" i="1"/>
  <c r="U138" i="1"/>
  <c r="E137" i="1"/>
  <c r="E137" i="5" s="1"/>
  <c r="E138" i="1"/>
  <c r="E138" i="5" s="1"/>
  <c r="Y113" i="5" l="1"/>
  <c r="Y110" i="5"/>
  <c r="K136" i="1"/>
  <c r="K136" i="5" s="1"/>
  <c r="K142" i="5" s="1"/>
  <c r="Y117" i="5"/>
  <c r="Y117" i="1"/>
  <c r="Y78" i="5"/>
  <c r="E8" i="6" s="1"/>
  <c r="O136" i="1"/>
  <c r="O136" i="5" s="1"/>
  <c r="T136" i="1"/>
  <c r="T136" i="5" s="1"/>
  <c r="Y120" i="1"/>
  <c r="Y128" i="1"/>
  <c r="Y101" i="5"/>
  <c r="Y107" i="5"/>
  <c r="Y113" i="1"/>
  <c r="Y92" i="5"/>
  <c r="Y98" i="5"/>
  <c r="Y95" i="5"/>
  <c r="Y110" i="1"/>
  <c r="Y96" i="1"/>
  <c r="G82" i="5"/>
  <c r="Y82" i="5" s="1"/>
  <c r="Y82" i="1"/>
  <c r="P142" i="5"/>
  <c r="P148" i="5" s="1"/>
  <c r="P166" i="5" s="1"/>
  <c r="G136" i="1"/>
  <c r="Y85" i="1"/>
  <c r="O85" i="5"/>
  <c r="Y85" i="5" s="1"/>
  <c r="N136" i="1"/>
  <c r="N136" i="5" s="1"/>
  <c r="N142" i="5" s="1"/>
  <c r="N148" i="5" s="1"/>
  <c r="Y129" i="1"/>
  <c r="Y107" i="1"/>
  <c r="Y98" i="1"/>
  <c r="Y95" i="1"/>
  <c r="Y92" i="1"/>
  <c r="Y101" i="1"/>
  <c r="W144" i="1"/>
  <c r="W150" i="1" s="1"/>
  <c r="W156" i="1" s="1"/>
  <c r="W138" i="5"/>
  <c r="W144" i="5" s="1"/>
  <c r="W150" i="5" s="1"/>
  <c r="X144" i="1"/>
  <c r="X150" i="1" s="1"/>
  <c r="X162" i="1" s="1"/>
  <c r="X138" i="5"/>
  <c r="X144" i="5" s="1"/>
  <c r="X150" i="5" s="1"/>
  <c r="V142" i="1"/>
  <c r="V148" i="1" s="1"/>
  <c r="V136" i="5"/>
  <c r="V142" i="5" s="1"/>
  <c r="V144" i="1"/>
  <c r="V150" i="1" s="1"/>
  <c r="V168" i="1" s="1"/>
  <c r="V138" i="5"/>
  <c r="V144" i="5" s="1"/>
  <c r="V150" i="5" s="1"/>
  <c r="X142" i="1"/>
  <c r="X148" i="1" s="1"/>
  <c r="X136" i="5"/>
  <c r="X142" i="5" s="1"/>
  <c r="X143" i="1"/>
  <c r="X149" i="1" s="1"/>
  <c r="X155" i="1" s="1"/>
  <c r="X137" i="5"/>
  <c r="X143" i="5" s="1"/>
  <c r="X149" i="5" s="1"/>
  <c r="W143" i="1"/>
  <c r="W149" i="1" s="1"/>
  <c r="W155" i="1" s="1"/>
  <c r="W137" i="5"/>
  <c r="W143" i="5" s="1"/>
  <c r="W149" i="5" s="1"/>
  <c r="V143" i="1"/>
  <c r="V149" i="1" s="1"/>
  <c r="V155" i="1" s="1"/>
  <c r="V137" i="5"/>
  <c r="V143" i="5" s="1"/>
  <c r="V149" i="5" s="1"/>
  <c r="W142" i="1"/>
  <c r="W148" i="1" s="1"/>
  <c r="W154" i="1" s="1"/>
  <c r="W136" i="5"/>
  <c r="W142" i="5" s="1"/>
  <c r="V151" i="4"/>
  <c r="V154" i="4"/>
  <c r="V152" i="4"/>
  <c r="V160" i="4"/>
  <c r="V166" i="4"/>
  <c r="W151" i="4"/>
  <c r="W154" i="4"/>
  <c r="W160" i="4"/>
  <c r="W166" i="4"/>
  <c r="W152" i="4"/>
  <c r="X151" i="4"/>
  <c r="X154" i="4"/>
  <c r="X160" i="4"/>
  <c r="X166" i="4"/>
  <c r="X152" i="4"/>
  <c r="Y143" i="4"/>
  <c r="T155" i="4"/>
  <c r="T167" i="4"/>
  <c r="Y149" i="4"/>
  <c r="L152" i="4"/>
  <c r="V162" i="1"/>
  <c r="L144" i="1"/>
  <c r="L150" i="1" s="1"/>
  <c r="L168" i="1" s="1"/>
  <c r="L138" i="5"/>
  <c r="L144" i="5" s="1"/>
  <c r="L150" i="5" s="1"/>
  <c r="G144" i="1"/>
  <c r="G150" i="1" s="1"/>
  <c r="G168" i="1" s="1"/>
  <c r="G138" i="5"/>
  <c r="G144" i="5" s="1"/>
  <c r="G150" i="5" s="1"/>
  <c r="K143" i="1"/>
  <c r="K149" i="1" s="1"/>
  <c r="K161" i="1" s="1"/>
  <c r="K137" i="5"/>
  <c r="K143" i="5" s="1"/>
  <c r="K149" i="5" s="1"/>
  <c r="S143" i="1"/>
  <c r="S149" i="1" s="1"/>
  <c r="S155" i="1" s="1"/>
  <c r="S137" i="5"/>
  <c r="S143" i="5" s="1"/>
  <c r="S149" i="5" s="1"/>
  <c r="R143" i="1"/>
  <c r="R149" i="1" s="1"/>
  <c r="R155" i="1" s="1"/>
  <c r="R137" i="5"/>
  <c r="R143" i="5" s="1"/>
  <c r="R149" i="5" s="1"/>
  <c r="R161" i="5" s="1"/>
  <c r="F144" i="1"/>
  <c r="F150" i="1" s="1"/>
  <c r="F168" i="1" s="1"/>
  <c r="F138" i="5"/>
  <c r="F144" i="5" s="1"/>
  <c r="F150" i="5" s="1"/>
  <c r="I144" i="1"/>
  <c r="I150" i="1" s="1"/>
  <c r="I156" i="1" s="1"/>
  <c r="I138" i="5"/>
  <c r="I144" i="5" s="1"/>
  <c r="I150" i="5" s="1"/>
  <c r="I168" i="5" s="1"/>
  <c r="H144" i="1"/>
  <c r="H150" i="1" s="1"/>
  <c r="H162" i="1" s="1"/>
  <c r="H138" i="5"/>
  <c r="H144" i="5" s="1"/>
  <c r="H150" i="5" s="1"/>
  <c r="J144" i="1"/>
  <c r="J150" i="1" s="1"/>
  <c r="J156" i="1" s="1"/>
  <c r="J138" i="5"/>
  <c r="J144" i="5" s="1"/>
  <c r="J150" i="5" s="1"/>
  <c r="Y91" i="1"/>
  <c r="T91" i="5"/>
  <c r="M144" i="1"/>
  <c r="M150" i="1" s="1"/>
  <c r="M168" i="1" s="1"/>
  <c r="M138" i="5"/>
  <c r="M144" i="5" s="1"/>
  <c r="M150" i="5" s="1"/>
  <c r="G143" i="1"/>
  <c r="G149" i="1" s="1"/>
  <c r="G161" i="1" s="1"/>
  <c r="G137" i="5"/>
  <c r="G143" i="5" s="1"/>
  <c r="G149" i="5" s="1"/>
  <c r="U144" i="1"/>
  <c r="U150" i="1" s="1"/>
  <c r="U162" i="1" s="1"/>
  <c r="U138" i="5"/>
  <c r="U144" i="5" s="1"/>
  <c r="U150" i="5" s="1"/>
  <c r="U168" i="5" s="1"/>
  <c r="O144" i="1"/>
  <c r="O150" i="1" s="1"/>
  <c r="O162" i="1" s="1"/>
  <c r="O138" i="5"/>
  <c r="O144" i="5" s="1"/>
  <c r="O150" i="5" s="1"/>
  <c r="K144" i="1"/>
  <c r="K150" i="1" s="1"/>
  <c r="K156" i="1" s="1"/>
  <c r="K138" i="5"/>
  <c r="K144" i="5" s="1"/>
  <c r="K150" i="5" s="1"/>
  <c r="H143" i="1"/>
  <c r="H149" i="1" s="1"/>
  <c r="H167" i="1" s="1"/>
  <c r="H137" i="5"/>
  <c r="H143" i="5" s="1"/>
  <c r="H149" i="5" s="1"/>
  <c r="I143" i="1"/>
  <c r="I149" i="1" s="1"/>
  <c r="I155" i="1" s="1"/>
  <c r="I137" i="5"/>
  <c r="I143" i="5" s="1"/>
  <c r="I149" i="5" s="1"/>
  <c r="R144" i="1"/>
  <c r="R150" i="1" s="1"/>
  <c r="R162" i="1" s="1"/>
  <c r="R138" i="5"/>
  <c r="R144" i="5" s="1"/>
  <c r="R150" i="5" s="1"/>
  <c r="R156" i="5" s="1"/>
  <c r="Y90" i="1"/>
  <c r="T90" i="5"/>
  <c r="Q143" i="1"/>
  <c r="Q149" i="1" s="1"/>
  <c r="Q155" i="1" s="1"/>
  <c r="Q137" i="5"/>
  <c r="Q143" i="5" s="1"/>
  <c r="Q149" i="5" s="1"/>
  <c r="Q161" i="5" s="1"/>
  <c r="N144" i="1"/>
  <c r="N150" i="1" s="1"/>
  <c r="N156" i="1" s="1"/>
  <c r="N138" i="5"/>
  <c r="N144" i="5" s="1"/>
  <c r="N150" i="5" s="1"/>
  <c r="J143" i="1"/>
  <c r="J149" i="1" s="1"/>
  <c r="J161" i="1" s="1"/>
  <c r="J137" i="5"/>
  <c r="J143" i="5" s="1"/>
  <c r="J149" i="5" s="1"/>
  <c r="Q144" i="1"/>
  <c r="Q150" i="1" s="1"/>
  <c r="Q156" i="1" s="1"/>
  <c r="Q138" i="5"/>
  <c r="Q144" i="5" s="1"/>
  <c r="Q150" i="5" s="1"/>
  <c r="U143" i="1"/>
  <c r="U149" i="1" s="1"/>
  <c r="U155" i="1" s="1"/>
  <c r="U137" i="5"/>
  <c r="U143" i="5" s="1"/>
  <c r="U149" i="5" s="1"/>
  <c r="M143" i="1"/>
  <c r="M149" i="1" s="1"/>
  <c r="M161" i="1" s="1"/>
  <c r="M137" i="5"/>
  <c r="M143" i="5" s="1"/>
  <c r="M149" i="5" s="1"/>
  <c r="L143" i="1"/>
  <c r="L149" i="1" s="1"/>
  <c r="L155" i="1" s="1"/>
  <c r="L137" i="5"/>
  <c r="L143" i="5" s="1"/>
  <c r="L149" i="5" s="1"/>
  <c r="L161" i="5" s="1"/>
  <c r="S144" i="1"/>
  <c r="S150" i="1" s="1"/>
  <c r="S162" i="1" s="1"/>
  <c r="S138" i="5"/>
  <c r="S144" i="5" s="1"/>
  <c r="S150" i="5" s="1"/>
  <c r="F143" i="1"/>
  <c r="F149" i="1" s="1"/>
  <c r="F155" i="1" s="1"/>
  <c r="F137" i="5"/>
  <c r="F143" i="5" s="1"/>
  <c r="F149" i="5" s="1"/>
  <c r="N143" i="1"/>
  <c r="N149" i="1" s="1"/>
  <c r="N161" i="1" s="1"/>
  <c r="N137" i="5"/>
  <c r="N143" i="5" s="1"/>
  <c r="N149" i="5" s="1"/>
  <c r="O143" i="1"/>
  <c r="O149" i="1" s="1"/>
  <c r="O155" i="1" s="1"/>
  <c r="O137" i="5"/>
  <c r="O143" i="5" s="1"/>
  <c r="O149" i="5" s="1"/>
  <c r="U142" i="1"/>
  <c r="U136" i="5"/>
  <c r="U142" i="5" s="1"/>
  <c r="U148" i="5" s="1"/>
  <c r="O142" i="1"/>
  <c r="O148" i="1" s="1"/>
  <c r="O160" i="1" s="1"/>
  <c r="N142" i="1"/>
  <c r="N148" i="1" s="1"/>
  <c r="N160" i="1" s="1"/>
  <c r="H142" i="1"/>
  <c r="H148" i="1" s="1"/>
  <c r="H166" i="1" s="1"/>
  <c r="H136" i="5"/>
  <c r="H142" i="5" s="1"/>
  <c r="R142" i="1"/>
  <c r="R148" i="1" s="1"/>
  <c r="R136" i="5"/>
  <c r="R142" i="5" s="1"/>
  <c r="R148" i="5" s="1"/>
  <c r="S142" i="1"/>
  <c r="S148" i="1" s="1"/>
  <c r="S154" i="1" s="1"/>
  <c r="S136" i="5"/>
  <c r="S142" i="5" s="1"/>
  <c r="Y89" i="1"/>
  <c r="T89" i="5"/>
  <c r="Y89" i="5" s="1"/>
  <c r="I142" i="1"/>
  <c r="I148" i="1" s="1"/>
  <c r="I166" i="1" s="1"/>
  <c r="I136" i="5"/>
  <c r="I142" i="5" s="1"/>
  <c r="I148" i="5" s="1"/>
  <c r="I154" i="5" s="1"/>
  <c r="M142" i="1"/>
  <c r="M136" i="5"/>
  <c r="M142" i="5" s="1"/>
  <c r="J142" i="1"/>
  <c r="J148" i="1" s="1"/>
  <c r="J166" i="1" s="1"/>
  <c r="J136" i="5"/>
  <c r="J142" i="5" s="1"/>
  <c r="Q142" i="1"/>
  <c r="Q148" i="1" s="1"/>
  <c r="Q160" i="1" s="1"/>
  <c r="Q136" i="5"/>
  <c r="Q142" i="5" s="1"/>
  <c r="F142" i="1"/>
  <c r="F148" i="1" s="1"/>
  <c r="F160" i="1" s="1"/>
  <c r="F136" i="5"/>
  <c r="F142" i="5" s="1"/>
  <c r="F148" i="5" s="1"/>
  <c r="L142" i="1"/>
  <c r="L148" i="1" s="1"/>
  <c r="L166" i="1" s="1"/>
  <c r="L136" i="5"/>
  <c r="L142" i="5" s="1"/>
  <c r="L148" i="5" s="1"/>
  <c r="P162" i="5"/>
  <c r="P156" i="5"/>
  <c r="E144" i="5"/>
  <c r="E150" i="5" s="1"/>
  <c r="P167" i="5"/>
  <c r="P155" i="5"/>
  <c r="P161" i="5"/>
  <c r="E148" i="5"/>
  <c r="E143" i="5"/>
  <c r="R166" i="4"/>
  <c r="R170" i="4" s="1"/>
  <c r="R154" i="4"/>
  <c r="R158" i="4" s="1"/>
  <c r="R151" i="4"/>
  <c r="R152" i="4"/>
  <c r="Q152" i="4"/>
  <c r="Q166" i="4"/>
  <c r="Q169" i="4" s="1"/>
  <c r="Q160" i="4"/>
  <c r="Q163" i="4" s="1"/>
  <c r="Q151" i="4"/>
  <c r="E145" i="4"/>
  <c r="P169" i="4"/>
  <c r="P170" i="4"/>
  <c r="R164" i="4"/>
  <c r="R163" i="4"/>
  <c r="U157" i="4"/>
  <c r="U158" i="4"/>
  <c r="J158" i="4"/>
  <c r="J157" i="4"/>
  <c r="U164" i="4"/>
  <c r="U163" i="4"/>
  <c r="J170" i="4"/>
  <c r="J169" i="4"/>
  <c r="K163" i="4"/>
  <c r="K164" i="4"/>
  <c r="T168" i="4"/>
  <c r="T156" i="4"/>
  <c r="T162" i="4"/>
  <c r="K170" i="4"/>
  <c r="K169" i="4"/>
  <c r="I170" i="4"/>
  <c r="I169" i="4"/>
  <c r="M151" i="4"/>
  <c r="M152" i="4"/>
  <c r="M154" i="4"/>
  <c r="M166" i="4"/>
  <c r="M160" i="4"/>
  <c r="S170" i="4"/>
  <c r="S169" i="4"/>
  <c r="K158" i="4"/>
  <c r="K157" i="4"/>
  <c r="N152" i="4"/>
  <c r="N166" i="4"/>
  <c r="N154" i="4"/>
  <c r="N151" i="4"/>
  <c r="N160" i="4"/>
  <c r="I164" i="4"/>
  <c r="I163" i="4"/>
  <c r="H170" i="4"/>
  <c r="H169" i="4"/>
  <c r="S158" i="4"/>
  <c r="S157" i="4"/>
  <c r="S164" i="4"/>
  <c r="S163" i="4"/>
  <c r="E160" i="4"/>
  <c r="E154" i="4"/>
  <c r="E166" i="4"/>
  <c r="U169" i="4"/>
  <c r="U170" i="4"/>
  <c r="P157" i="4"/>
  <c r="P158" i="4"/>
  <c r="J163" i="4"/>
  <c r="J164" i="4"/>
  <c r="E150" i="4"/>
  <c r="E152" i="4" s="1"/>
  <c r="Y144" i="4"/>
  <c r="F151" i="4"/>
  <c r="F152" i="4"/>
  <c r="F160" i="4"/>
  <c r="F154" i="4"/>
  <c r="F166" i="4"/>
  <c r="P163" i="4"/>
  <c r="P164" i="4"/>
  <c r="T148" i="4"/>
  <c r="Y148" i="4" s="1"/>
  <c r="T146" i="4"/>
  <c r="Y146" i="4" s="1"/>
  <c r="T145" i="4"/>
  <c r="O152" i="4"/>
  <c r="O166" i="4"/>
  <c r="O154" i="4"/>
  <c r="O151" i="4"/>
  <c r="O160" i="4"/>
  <c r="I158" i="4"/>
  <c r="I157" i="4"/>
  <c r="Q157" i="4"/>
  <c r="Q158" i="4"/>
  <c r="H164" i="4"/>
  <c r="H163" i="4"/>
  <c r="H158" i="4"/>
  <c r="H157" i="4"/>
  <c r="G151" i="4"/>
  <c r="G152" i="4"/>
  <c r="G166" i="4"/>
  <c r="G160" i="4"/>
  <c r="G154" i="4"/>
  <c r="Y142" i="4"/>
  <c r="L167" i="4"/>
  <c r="L155" i="4"/>
  <c r="L161" i="4"/>
  <c r="L163" i="4" s="1"/>
  <c r="E142" i="1"/>
  <c r="Y138" i="1"/>
  <c r="E143" i="1"/>
  <c r="Y137" i="1"/>
  <c r="P144" i="1"/>
  <c r="P150" i="1" s="1"/>
  <c r="P143" i="1"/>
  <c r="P149" i="1" s="1"/>
  <c r="P142" i="1"/>
  <c r="T143" i="1"/>
  <c r="T149" i="1" s="1"/>
  <c r="T144" i="1"/>
  <c r="T150" i="1" s="1"/>
  <c r="E144" i="1"/>
  <c r="K142" i="1" l="1"/>
  <c r="K148" i="1" s="1"/>
  <c r="K166" i="1" s="1"/>
  <c r="Y167" i="4"/>
  <c r="O142" i="5"/>
  <c r="O146" i="5" s="1"/>
  <c r="P170" i="5"/>
  <c r="P146" i="5"/>
  <c r="P160" i="5"/>
  <c r="P163" i="5" s="1"/>
  <c r="P152" i="5"/>
  <c r="P145" i="5"/>
  <c r="T142" i="1"/>
  <c r="Y136" i="1"/>
  <c r="E11" i="6"/>
  <c r="P154" i="5"/>
  <c r="P158" i="5" s="1"/>
  <c r="G136" i="5"/>
  <c r="G142" i="5" s="1"/>
  <c r="G148" i="5" s="1"/>
  <c r="G142" i="1"/>
  <c r="G148" i="1" s="1"/>
  <c r="G166" i="1" s="1"/>
  <c r="P151" i="5"/>
  <c r="O168" i="1"/>
  <c r="O156" i="1"/>
  <c r="Q167" i="1"/>
  <c r="X156" i="1"/>
  <c r="Q161" i="1"/>
  <c r="R169" i="4"/>
  <c r="Y155" i="4"/>
  <c r="G155" i="1"/>
  <c r="R161" i="1"/>
  <c r="R167" i="1"/>
  <c r="W168" i="1"/>
  <c r="I162" i="1"/>
  <c r="I168" i="1"/>
  <c r="N162" i="1"/>
  <c r="N163" i="1" s="1"/>
  <c r="W162" i="1"/>
  <c r="U156" i="1"/>
  <c r="W166" i="1"/>
  <c r="W160" i="1"/>
  <c r="U168" i="1"/>
  <c r="V156" i="1"/>
  <c r="G162" i="1"/>
  <c r="H168" i="1"/>
  <c r="H170" i="1" s="1"/>
  <c r="H156" i="1"/>
  <c r="G156" i="1"/>
  <c r="L156" i="1"/>
  <c r="X146" i="1"/>
  <c r="O167" i="1"/>
  <c r="S161" i="1"/>
  <c r="S167" i="1"/>
  <c r="X168" i="1"/>
  <c r="M155" i="1"/>
  <c r="M167" i="1"/>
  <c r="U146" i="1"/>
  <c r="K145" i="1"/>
  <c r="V167" i="1"/>
  <c r="V161" i="1"/>
  <c r="X145" i="1"/>
  <c r="U148" i="1"/>
  <c r="U166" i="1" s="1"/>
  <c r="O146" i="1"/>
  <c r="M162" i="1"/>
  <c r="M156" i="1"/>
  <c r="R168" i="5"/>
  <c r="Q168" i="1"/>
  <c r="Q162" i="1"/>
  <c r="J145" i="1"/>
  <c r="N167" i="1"/>
  <c r="R168" i="1"/>
  <c r="R156" i="1"/>
  <c r="N155" i="1"/>
  <c r="L162" i="1"/>
  <c r="S156" i="1"/>
  <c r="S157" i="1" s="1"/>
  <c r="W152" i="1"/>
  <c r="X167" i="1"/>
  <c r="V155" i="5"/>
  <c r="V161" i="5"/>
  <c r="V167" i="5"/>
  <c r="S168" i="1"/>
  <c r="X167" i="5"/>
  <c r="X161" i="5"/>
  <c r="X155" i="5"/>
  <c r="X145" i="5"/>
  <c r="X148" i="5"/>
  <c r="X146" i="5"/>
  <c r="W151" i="1"/>
  <c r="I161" i="1"/>
  <c r="V146" i="1"/>
  <c r="V156" i="5"/>
  <c r="V162" i="5"/>
  <c r="V168" i="5"/>
  <c r="I167" i="1"/>
  <c r="I145" i="1"/>
  <c r="X161" i="1"/>
  <c r="V145" i="1"/>
  <c r="V148" i="5"/>
  <c r="V146" i="5"/>
  <c r="V145" i="5"/>
  <c r="K155" i="1"/>
  <c r="I146" i="1"/>
  <c r="K167" i="1"/>
  <c r="W146" i="1"/>
  <c r="X156" i="5"/>
  <c r="X162" i="5"/>
  <c r="X168" i="5"/>
  <c r="J162" i="1"/>
  <c r="W167" i="1"/>
  <c r="H155" i="1"/>
  <c r="W161" i="1"/>
  <c r="W145" i="5"/>
  <c r="W148" i="5"/>
  <c r="W146" i="5"/>
  <c r="W156" i="5"/>
  <c r="W162" i="5"/>
  <c r="W168" i="5"/>
  <c r="W161" i="5"/>
  <c r="W167" i="5"/>
  <c r="W155" i="5"/>
  <c r="H161" i="1"/>
  <c r="S145" i="1"/>
  <c r="W145" i="1"/>
  <c r="U162" i="5"/>
  <c r="I152" i="5"/>
  <c r="X170" i="4"/>
  <c r="X169" i="4"/>
  <c r="X163" i="4"/>
  <c r="X164" i="4"/>
  <c r="X157" i="4"/>
  <c r="X158" i="4"/>
  <c r="Y145" i="4"/>
  <c r="W170" i="4"/>
  <c r="W169" i="4"/>
  <c r="W164" i="4"/>
  <c r="W163" i="4"/>
  <c r="I156" i="5"/>
  <c r="W157" i="4"/>
  <c r="W158" i="4"/>
  <c r="I162" i="5"/>
  <c r="E151" i="4"/>
  <c r="V170" i="4"/>
  <c r="V169" i="4"/>
  <c r="I151" i="5"/>
  <c r="V164" i="4"/>
  <c r="V163" i="4"/>
  <c r="V158" i="4"/>
  <c r="V157" i="4"/>
  <c r="Y138" i="5"/>
  <c r="E16" i="6" s="1"/>
  <c r="L152" i="5"/>
  <c r="L164" i="4"/>
  <c r="L169" i="4"/>
  <c r="L170" i="4"/>
  <c r="L155" i="5"/>
  <c r="Q170" i="4"/>
  <c r="Q167" i="5"/>
  <c r="Y161" i="4"/>
  <c r="I166" i="5"/>
  <c r="I160" i="5"/>
  <c r="S146" i="5"/>
  <c r="R145" i="1"/>
  <c r="U161" i="1"/>
  <c r="F167" i="1"/>
  <c r="F146" i="1"/>
  <c r="F161" i="1"/>
  <c r="G146" i="1"/>
  <c r="J155" i="1"/>
  <c r="J167" i="1"/>
  <c r="O161" i="1"/>
  <c r="O163" i="1" s="1"/>
  <c r="G167" i="1"/>
  <c r="Q155" i="5"/>
  <c r="L167" i="5"/>
  <c r="N145" i="1"/>
  <c r="U167" i="1"/>
  <c r="R167" i="5"/>
  <c r="M146" i="1"/>
  <c r="U151" i="5"/>
  <c r="U155" i="5"/>
  <c r="U167" i="5"/>
  <c r="U161" i="5"/>
  <c r="Y90" i="5"/>
  <c r="T143" i="5"/>
  <c r="T149" i="5" s="1"/>
  <c r="V151" i="1"/>
  <c r="V152" i="1"/>
  <c r="V154" i="1"/>
  <c r="V160" i="1"/>
  <c r="V166" i="1"/>
  <c r="N161" i="5"/>
  <c r="N155" i="5"/>
  <c r="N167" i="5"/>
  <c r="G167" i="5"/>
  <c r="G155" i="5"/>
  <c r="G161" i="5"/>
  <c r="X151" i="1"/>
  <c r="X154" i="1"/>
  <c r="X160" i="1"/>
  <c r="X166" i="1"/>
  <c r="X152" i="1"/>
  <c r="F156" i="1"/>
  <c r="K146" i="1"/>
  <c r="F162" i="1"/>
  <c r="M156" i="5"/>
  <c r="M168" i="5"/>
  <c r="M162" i="5"/>
  <c r="F168" i="5"/>
  <c r="F156" i="5"/>
  <c r="F162" i="5"/>
  <c r="M145" i="1"/>
  <c r="F145" i="1"/>
  <c r="Q168" i="5"/>
  <c r="Q156" i="5"/>
  <c r="Q162" i="5"/>
  <c r="L151" i="5"/>
  <c r="O155" i="5"/>
  <c r="O161" i="5"/>
  <c r="O167" i="5"/>
  <c r="F161" i="5"/>
  <c r="F167" i="5"/>
  <c r="F155" i="5"/>
  <c r="J161" i="5"/>
  <c r="J167" i="5"/>
  <c r="J155" i="5"/>
  <c r="I161" i="5"/>
  <c r="I167" i="5"/>
  <c r="I155" i="5"/>
  <c r="R155" i="5"/>
  <c r="T144" i="5"/>
  <c r="Y91" i="5"/>
  <c r="M148" i="1"/>
  <c r="M160" i="1" s="1"/>
  <c r="U145" i="1"/>
  <c r="S146" i="1"/>
  <c r="L160" i="5"/>
  <c r="U145" i="5"/>
  <c r="U152" i="5"/>
  <c r="S161" i="5"/>
  <c r="S155" i="5"/>
  <c r="S167" i="5"/>
  <c r="L154" i="5"/>
  <c r="L145" i="5"/>
  <c r="S162" i="5"/>
  <c r="S156" i="5"/>
  <c r="S168" i="5"/>
  <c r="H167" i="5"/>
  <c r="H155" i="5"/>
  <c r="H161" i="5"/>
  <c r="K155" i="5"/>
  <c r="K167" i="5"/>
  <c r="K161" i="5"/>
  <c r="L166" i="5"/>
  <c r="U156" i="5"/>
  <c r="O145" i="1"/>
  <c r="J146" i="1"/>
  <c r="J168" i="1"/>
  <c r="K168" i="5"/>
  <c r="K162" i="5"/>
  <c r="K156" i="5"/>
  <c r="J168" i="5"/>
  <c r="J162" i="5"/>
  <c r="J156" i="5"/>
  <c r="N168" i="5"/>
  <c r="N156" i="5"/>
  <c r="N162" i="5"/>
  <c r="G156" i="5"/>
  <c r="G168" i="5"/>
  <c r="G162" i="5"/>
  <c r="W157" i="1"/>
  <c r="W158" i="1"/>
  <c r="L167" i="1"/>
  <c r="L170" i="1" s="1"/>
  <c r="M155" i="5"/>
  <c r="M167" i="5"/>
  <c r="M161" i="5"/>
  <c r="H162" i="5"/>
  <c r="H168" i="5"/>
  <c r="H156" i="5"/>
  <c r="I145" i="5"/>
  <c r="L156" i="5"/>
  <c r="L162" i="5"/>
  <c r="L168" i="5"/>
  <c r="K162" i="1"/>
  <c r="Y137" i="5"/>
  <c r="E15" i="6" s="1"/>
  <c r="R162" i="5"/>
  <c r="O168" i="5"/>
  <c r="O156" i="5"/>
  <c r="O162" i="5"/>
  <c r="L161" i="1"/>
  <c r="N168" i="1"/>
  <c r="N146" i="1"/>
  <c r="L146" i="5"/>
  <c r="K168" i="1"/>
  <c r="Q148" i="5"/>
  <c r="Q146" i="5"/>
  <c r="Q145" i="5"/>
  <c r="H146" i="5"/>
  <c r="H145" i="5"/>
  <c r="H148" i="5"/>
  <c r="R166" i="5"/>
  <c r="R154" i="5"/>
  <c r="R160" i="5"/>
  <c r="J148" i="5"/>
  <c r="J146" i="5"/>
  <c r="J145" i="5"/>
  <c r="N166" i="5"/>
  <c r="N154" i="5"/>
  <c r="N160" i="5"/>
  <c r="N152" i="5"/>
  <c r="N151" i="5"/>
  <c r="R146" i="1"/>
  <c r="R151" i="5"/>
  <c r="R146" i="5"/>
  <c r="F145" i="5"/>
  <c r="M148" i="5"/>
  <c r="M145" i="5"/>
  <c r="M146" i="5"/>
  <c r="H146" i="1"/>
  <c r="Q145" i="1"/>
  <c r="L145" i="1"/>
  <c r="N145" i="5"/>
  <c r="F146" i="5"/>
  <c r="H145" i="1"/>
  <c r="Q146" i="1"/>
  <c r="L146" i="1"/>
  <c r="U166" i="5"/>
  <c r="U160" i="5"/>
  <c r="U154" i="5"/>
  <c r="F166" i="5"/>
  <c r="F154" i="5"/>
  <c r="F160" i="5"/>
  <c r="F151" i="5"/>
  <c r="K145" i="5"/>
  <c r="K148" i="5"/>
  <c r="K146" i="5"/>
  <c r="T142" i="5"/>
  <c r="T148" i="5" s="1"/>
  <c r="T160" i="5" s="1"/>
  <c r="N146" i="5"/>
  <c r="I146" i="5"/>
  <c r="R152" i="5"/>
  <c r="S148" i="5"/>
  <c r="S145" i="5"/>
  <c r="R145" i="5"/>
  <c r="U146" i="5"/>
  <c r="F152" i="5"/>
  <c r="R157" i="4"/>
  <c r="E145" i="5"/>
  <c r="E146" i="5"/>
  <c r="P169" i="5"/>
  <c r="E162" i="5"/>
  <c r="E168" i="5"/>
  <c r="E156" i="5"/>
  <c r="E166" i="5"/>
  <c r="E154" i="5"/>
  <c r="E160" i="5"/>
  <c r="E149" i="5"/>
  <c r="E151" i="5" s="1"/>
  <c r="L158" i="4"/>
  <c r="Q164" i="4"/>
  <c r="L157" i="4"/>
  <c r="M163" i="4"/>
  <c r="M164" i="4"/>
  <c r="O169" i="4"/>
  <c r="O170" i="4"/>
  <c r="F169" i="4"/>
  <c r="F170" i="4"/>
  <c r="F163" i="4"/>
  <c r="F164" i="4"/>
  <c r="O163" i="4"/>
  <c r="O164" i="4"/>
  <c r="N157" i="4"/>
  <c r="N158" i="4"/>
  <c r="M169" i="4"/>
  <c r="M170" i="4"/>
  <c r="G158" i="4"/>
  <c r="G157" i="4"/>
  <c r="N164" i="4"/>
  <c r="N163" i="4"/>
  <c r="G170" i="4"/>
  <c r="G169" i="4"/>
  <c r="N169" i="4"/>
  <c r="N170" i="4"/>
  <c r="F157" i="4"/>
  <c r="F158" i="4"/>
  <c r="E162" i="4"/>
  <c r="Y162" i="4" s="1"/>
  <c r="Y150" i="4"/>
  <c r="E168" i="4"/>
  <c r="Y168" i="4" s="1"/>
  <c r="E156" i="4"/>
  <c r="Y156" i="4" s="1"/>
  <c r="M157" i="4"/>
  <c r="M158" i="4"/>
  <c r="O157" i="4"/>
  <c r="O158" i="4"/>
  <c r="G163" i="4"/>
  <c r="G164" i="4"/>
  <c r="T160" i="4"/>
  <c r="Y160" i="4" s="1"/>
  <c r="T166" i="4"/>
  <c r="Y166" i="4" s="1"/>
  <c r="T154" i="4"/>
  <c r="Y154" i="4" s="1"/>
  <c r="T151" i="4"/>
  <c r="T152" i="4"/>
  <c r="Y152" i="4" s="1"/>
  <c r="K154" i="1"/>
  <c r="I154" i="1"/>
  <c r="I158" i="1" s="1"/>
  <c r="F154" i="1"/>
  <c r="F166" i="1"/>
  <c r="O166" i="1"/>
  <c r="L154" i="1"/>
  <c r="L157" i="1" s="1"/>
  <c r="L160" i="1"/>
  <c r="N166" i="1"/>
  <c r="T148" i="1"/>
  <c r="T160" i="1" s="1"/>
  <c r="T146" i="1"/>
  <c r="T145" i="1"/>
  <c r="K160" i="1"/>
  <c r="K152" i="1"/>
  <c r="K151" i="1"/>
  <c r="J160" i="1"/>
  <c r="R151" i="1"/>
  <c r="R152" i="1"/>
  <c r="R154" i="1"/>
  <c r="R160" i="1"/>
  <c r="R166" i="1"/>
  <c r="P148" i="1"/>
  <c r="P166" i="1" s="1"/>
  <c r="P146" i="1"/>
  <c r="P145" i="1"/>
  <c r="Q166" i="1"/>
  <c r="Q151" i="1"/>
  <c r="Q152" i="1"/>
  <c r="H151" i="1"/>
  <c r="H152" i="1"/>
  <c r="I151" i="1"/>
  <c r="I152" i="1"/>
  <c r="J154" i="1"/>
  <c r="H154" i="1"/>
  <c r="H160" i="1"/>
  <c r="S151" i="1"/>
  <c r="S152" i="1"/>
  <c r="S160" i="1"/>
  <c r="N154" i="1"/>
  <c r="N151" i="1"/>
  <c r="N152" i="1"/>
  <c r="I160" i="1"/>
  <c r="Q154" i="1"/>
  <c r="F152" i="1"/>
  <c r="F151" i="1"/>
  <c r="O154" i="1"/>
  <c r="O152" i="1"/>
  <c r="O151" i="1"/>
  <c r="J152" i="1"/>
  <c r="J151" i="1"/>
  <c r="S166" i="1"/>
  <c r="E145" i="1"/>
  <c r="E146" i="1"/>
  <c r="L151" i="1"/>
  <c r="L152" i="1"/>
  <c r="E149" i="1"/>
  <c r="Y143" i="1"/>
  <c r="E150" i="1"/>
  <c r="Y150" i="1" s="1"/>
  <c r="Y144" i="1"/>
  <c r="E148" i="1"/>
  <c r="P155" i="1"/>
  <c r="P161" i="1"/>
  <c r="P167" i="1"/>
  <c r="T168" i="1"/>
  <c r="T162" i="1"/>
  <c r="T156" i="1"/>
  <c r="P162" i="1"/>
  <c r="P156" i="1"/>
  <c r="P168" i="1"/>
  <c r="T155" i="1"/>
  <c r="T161" i="1"/>
  <c r="T167" i="1"/>
  <c r="O148" i="5" l="1"/>
  <c r="O166" i="5" s="1"/>
  <c r="O145" i="5"/>
  <c r="G145" i="5"/>
  <c r="G146" i="5"/>
  <c r="P164" i="5"/>
  <c r="Y136" i="5"/>
  <c r="E14" i="6" s="1"/>
  <c r="G151" i="1"/>
  <c r="G154" i="1"/>
  <c r="G158" i="1" s="1"/>
  <c r="G160" i="1"/>
  <c r="G169" i="1"/>
  <c r="G152" i="1"/>
  <c r="Y142" i="1"/>
  <c r="U151" i="1"/>
  <c r="P157" i="5"/>
  <c r="G145" i="1"/>
  <c r="Y145" i="1" s="1"/>
  <c r="M163" i="1"/>
  <c r="I170" i="1"/>
  <c r="N164" i="1"/>
  <c r="Q164" i="1"/>
  <c r="Y151" i="4"/>
  <c r="W164" i="1"/>
  <c r="S158" i="1"/>
  <c r="I169" i="1"/>
  <c r="W169" i="1"/>
  <c r="W163" i="1"/>
  <c r="U170" i="1"/>
  <c r="O170" i="1"/>
  <c r="W170" i="1"/>
  <c r="U160" i="1"/>
  <c r="U163" i="1" s="1"/>
  <c r="U169" i="1"/>
  <c r="U152" i="1"/>
  <c r="U154" i="1"/>
  <c r="U158" i="1" s="1"/>
  <c r="H169" i="1"/>
  <c r="F158" i="1"/>
  <c r="O164" i="1"/>
  <c r="F170" i="1"/>
  <c r="F163" i="1"/>
  <c r="K157" i="1"/>
  <c r="K169" i="1"/>
  <c r="F164" i="1"/>
  <c r="K170" i="1"/>
  <c r="M151" i="1"/>
  <c r="M154" i="1"/>
  <c r="M157" i="1" s="1"/>
  <c r="Q163" i="1"/>
  <c r="R169" i="5"/>
  <c r="M164" i="1"/>
  <c r="L163" i="1"/>
  <c r="M152" i="1"/>
  <c r="X151" i="5"/>
  <c r="X154" i="5"/>
  <c r="X160" i="5"/>
  <c r="X166" i="5"/>
  <c r="X152" i="5"/>
  <c r="F169" i="1"/>
  <c r="V151" i="5"/>
  <c r="V152" i="5"/>
  <c r="V154" i="5"/>
  <c r="V160" i="5"/>
  <c r="V166" i="5"/>
  <c r="G170" i="1"/>
  <c r="W151" i="5"/>
  <c r="W154" i="5"/>
  <c r="W160" i="5"/>
  <c r="W166" i="5"/>
  <c r="W152" i="5"/>
  <c r="I170" i="5"/>
  <c r="J169" i="1"/>
  <c r="T145" i="5"/>
  <c r="L164" i="5"/>
  <c r="I157" i="5"/>
  <c r="Y143" i="5"/>
  <c r="I163" i="5"/>
  <c r="L158" i="5"/>
  <c r="U163" i="5"/>
  <c r="R157" i="5"/>
  <c r="U169" i="5"/>
  <c r="I158" i="5"/>
  <c r="L170" i="5"/>
  <c r="L157" i="5"/>
  <c r="I169" i="5"/>
  <c r="V170" i="1"/>
  <c r="V169" i="1"/>
  <c r="V164" i="1"/>
  <c r="V163" i="1"/>
  <c r="V158" i="1"/>
  <c r="V157" i="1"/>
  <c r="U170" i="5"/>
  <c r="T161" i="5"/>
  <c r="T167" i="5"/>
  <c r="T155" i="5"/>
  <c r="R158" i="5"/>
  <c r="L169" i="5"/>
  <c r="T154" i="5"/>
  <c r="X170" i="1"/>
  <c r="X169" i="1"/>
  <c r="L169" i="1"/>
  <c r="Y142" i="5"/>
  <c r="X163" i="1"/>
  <c r="X164" i="1"/>
  <c r="T166" i="5"/>
  <c r="J170" i="1"/>
  <c r="I164" i="5"/>
  <c r="L163" i="5"/>
  <c r="T150" i="5"/>
  <c r="Y144" i="5"/>
  <c r="X157" i="1"/>
  <c r="X158" i="1"/>
  <c r="M166" i="1"/>
  <c r="M169" i="1" s="1"/>
  <c r="U157" i="5"/>
  <c r="R163" i="5"/>
  <c r="N157" i="5"/>
  <c r="N158" i="5"/>
  <c r="F158" i="5"/>
  <c r="F157" i="5"/>
  <c r="N169" i="5"/>
  <c r="N170" i="5"/>
  <c r="M166" i="5"/>
  <c r="M154" i="5"/>
  <c r="M152" i="5"/>
  <c r="M151" i="5"/>
  <c r="M160" i="5"/>
  <c r="S166" i="5"/>
  <c r="S152" i="5"/>
  <c r="S154" i="5"/>
  <c r="S160" i="5"/>
  <c r="S151" i="5"/>
  <c r="H154" i="5"/>
  <c r="H166" i="5"/>
  <c r="H151" i="5"/>
  <c r="H152" i="5"/>
  <c r="H160" i="5"/>
  <c r="U164" i="5"/>
  <c r="R170" i="5"/>
  <c r="U158" i="5"/>
  <c r="F163" i="5"/>
  <c r="F164" i="5"/>
  <c r="F170" i="5"/>
  <c r="F169" i="5"/>
  <c r="R164" i="5"/>
  <c r="K152" i="5"/>
  <c r="K160" i="5"/>
  <c r="K166" i="5"/>
  <c r="K154" i="5"/>
  <c r="K151" i="5"/>
  <c r="G151" i="5"/>
  <c r="G160" i="5"/>
  <c r="G166" i="5"/>
  <c r="G154" i="5"/>
  <c r="G152" i="5"/>
  <c r="Q166" i="5"/>
  <c r="Q160" i="5"/>
  <c r="Q154" i="5"/>
  <c r="Q152" i="5"/>
  <c r="Q151" i="5"/>
  <c r="J154" i="5"/>
  <c r="J160" i="5"/>
  <c r="J152" i="5"/>
  <c r="J166" i="5"/>
  <c r="J151" i="5"/>
  <c r="L164" i="1"/>
  <c r="T146" i="5"/>
  <c r="N164" i="5"/>
  <c r="N163" i="5"/>
  <c r="E152" i="5"/>
  <c r="E161" i="5"/>
  <c r="Y149" i="5"/>
  <c r="E21" i="6" s="1"/>
  <c r="E167" i="5"/>
  <c r="E155" i="5"/>
  <c r="E158" i="5" s="1"/>
  <c r="E163" i="4"/>
  <c r="E169" i="4"/>
  <c r="T157" i="4"/>
  <c r="T158" i="4"/>
  <c r="T164" i="4"/>
  <c r="T163" i="4"/>
  <c r="E157" i="4"/>
  <c r="E164" i="4"/>
  <c r="T170" i="4"/>
  <c r="T169" i="4"/>
  <c r="E170" i="4"/>
  <c r="E158" i="4"/>
  <c r="K158" i="1"/>
  <c r="F157" i="1"/>
  <c r="G157" i="1"/>
  <c r="I157" i="1"/>
  <c r="O169" i="1"/>
  <c r="L158" i="1"/>
  <c r="S169" i="1"/>
  <c r="S170" i="1"/>
  <c r="P170" i="1"/>
  <c r="P169" i="1"/>
  <c r="Q170" i="1"/>
  <c r="Q169" i="1"/>
  <c r="R169" i="1"/>
  <c r="R170" i="1"/>
  <c r="N170" i="1"/>
  <c r="N169" i="1"/>
  <c r="I163" i="1"/>
  <c r="I164" i="1"/>
  <c r="H163" i="1"/>
  <c r="H164" i="1"/>
  <c r="G163" i="1"/>
  <c r="G164" i="1"/>
  <c r="T163" i="1"/>
  <c r="T164" i="1"/>
  <c r="R163" i="1"/>
  <c r="R164" i="1"/>
  <c r="S163" i="1"/>
  <c r="S164" i="1"/>
  <c r="K163" i="1"/>
  <c r="K164" i="1"/>
  <c r="J163" i="1"/>
  <c r="J164" i="1"/>
  <c r="N158" i="1"/>
  <c r="N157" i="1"/>
  <c r="R157" i="1"/>
  <c r="R158" i="1"/>
  <c r="J158" i="1"/>
  <c r="J157" i="1"/>
  <c r="E168" i="1"/>
  <c r="Y168" i="1" s="1"/>
  <c r="Q157" i="1"/>
  <c r="Q158" i="1"/>
  <c r="T154" i="1"/>
  <c r="T166" i="1"/>
  <c r="O157" i="1"/>
  <c r="O158" i="1"/>
  <c r="E162" i="1"/>
  <c r="Y162" i="1" s="1"/>
  <c r="Y146" i="1"/>
  <c r="H157" i="1"/>
  <c r="H158" i="1"/>
  <c r="P160" i="1"/>
  <c r="P152" i="1"/>
  <c r="P151" i="1"/>
  <c r="P154" i="1"/>
  <c r="E152" i="1"/>
  <c r="E151" i="1"/>
  <c r="E156" i="1"/>
  <c r="Y156" i="1" s="1"/>
  <c r="T151" i="1"/>
  <c r="T152" i="1"/>
  <c r="E166" i="1"/>
  <c r="Y148" i="1"/>
  <c r="E154" i="1"/>
  <c r="E160" i="1"/>
  <c r="E167" i="1"/>
  <c r="Y167" i="1" s="1"/>
  <c r="Y149" i="1"/>
  <c r="E155" i="1"/>
  <c r="Y155" i="1" s="1"/>
  <c r="E161" i="1"/>
  <c r="Y161" i="1" s="1"/>
  <c r="O160" i="5" l="1"/>
  <c r="Y148" i="5"/>
  <c r="E20" i="6" s="1"/>
  <c r="O154" i="5"/>
  <c r="O151" i="5"/>
  <c r="O152" i="5"/>
  <c r="Y146" i="5"/>
  <c r="Y145" i="5"/>
  <c r="Y164" i="4"/>
  <c r="U164" i="1"/>
  <c r="U157" i="1"/>
  <c r="M158" i="1"/>
  <c r="E157" i="5"/>
  <c r="M170" i="1"/>
  <c r="W170" i="5"/>
  <c r="W169" i="5"/>
  <c r="W163" i="5"/>
  <c r="W164" i="5"/>
  <c r="V170" i="5"/>
  <c r="V169" i="5"/>
  <c r="V164" i="5"/>
  <c r="V163" i="5"/>
  <c r="V158" i="5"/>
  <c r="V157" i="5"/>
  <c r="W157" i="5"/>
  <c r="W158" i="5"/>
  <c r="X170" i="5"/>
  <c r="X169" i="5"/>
  <c r="X163" i="5"/>
  <c r="X164" i="5"/>
  <c r="X157" i="5"/>
  <c r="X158" i="5"/>
  <c r="Y160" i="5"/>
  <c r="E26" i="6" s="1"/>
  <c r="Y157" i="4"/>
  <c r="Y170" i="4"/>
  <c r="Y158" i="4"/>
  <c r="T162" i="5"/>
  <c r="T168" i="5"/>
  <c r="Y168" i="5" s="1"/>
  <c r="E34" i="6" s="1"/>
  <c r="T156" i="5"/>
  <c r="Y156" i="5" s="1"/>
  <c r="Y150" i="5"/>
  <c r="E22" i="6" s="1"/>
  <c r="T152" i="5"/>
  <c r="Y152" i="5" s="1"/>
  <c r="E24" i="6" s="1"/>
  <c r="Y155" i="5"/>
  <c r="Y161" i="5"/>
  <c r="E27" i="6" s="1"/>
  <c r="T151" i="5"/>
  <c r="Y151" i="5" s="1"/>
  <c r="E23" i="6" s="1"/>
  <c r="Y167" i="5"/>
  <c r="E33" i="6" s="1"/>
  <c r="Y166" i="5"/>
  <c r="E32" i="6" s="1"/>
  <c r="Y154" i="5"/>
  <c r="Q158" i="5"/>
  <c r="Q157" i="5"/>
  <c r="M157" i="5"/>
  <c r="M158" i="5"/>
  <c r="M170" i="5"/>
  <c r="M169" i="5"/>
  <c r="M163" i="5"/>
  <c r="M164" i="5"/>
  <c r="O164" i="5"/>
  <c r="O163" i="5"/>
  <c r="Q169" i="5"/>
  <c r="Q170" i="5"/>
  <c r="O169" i="5"/>
  <c r="O170" i="5"/>
  <c r="O158" i="5"/>
  <c r="O157" i="5"/>
  <c r="K157" i="5"/>
  <c r="K158" i="5"/>
  <c r="H158" i="5"/>
  <c r="H157" i="5"/>
  <c r="J170" i="5"/>
  <c r="J169" i="5"/>
  <c r="K170" i="5"/>
  <c r="K169" i="5"/>
  <c r="H163" i="5"/>
  <c r="H164" i="5"/>
  <c r="K164" i="5"/>
  <c r="K163" i="5"/>
  <c r="G163" i="5"/>
  <c r="G164" i="5"/>
  <c r="H169" i="5"/>
  <c r="H170" i="5"/>
  <c r="J158" i="5"/>
  <c r="J157" i="5"/>
  <c r="S157" i="5"/>
  <c r="S158" i="5"/>
  <c r="Q163" i="5"/>
  <c r="Q164" i="5"/>
  <c r="G170" i="5"/>
  <c r="G169" i="5"/>
  <c r="S163" i="5"/>
  <c r="S164" i="5"/>
  <c r="G157" i="5"/>
  <c r="G158" i="5"/>
  <c r="J164" i="5"/>
  <c r="J163" i="5"/>
  <c r="S170" i="5"/>
  <c r="S169" i="5"/>
  <c r="E163" i="5"/>
  <c r="E164" i="5"/>
  <c r="E169" i="5"/>
  <c r="E170" i="5"/>
  <c r="Y169" i="4"/>
  <c r="Y163" i="4"/>
  <c r="Y152" i="1"/>
  <c r="Y166" i="1"/>
  <c r="E170" i="1"/>
  <c r="E169" i="1"/>
  <c r="T169" i="1"/>
  <c r="T170" i="1"/>
  <c r="Y160" i="1"/>
  <c r="E164" i="1"/>
  <c r="E163" i="1"/>
  <c r="P163" i="1"/>
  <c r="P164" i="1"/>
  <c r="Y154" i="1"/>
  <c r="E157" i="1"/>
  <c r="E158" i="1"/>
  <c r="T157" i="1"/>
  <c r="T158" i="1"/>
  <c r="P157" i="1"/>
  <c r="P158" i="1"/>
  <c r="Y151" i="1"/>
  <c r="T170" i="5" l="1"/>
  <c r="Y170" i="5" s="1"/>
  <c r="E36" i="6" s="1"/>
  <c r="T169" i="5"/>
  <c r="Y169" i="5" s="1"/>
  <c r="E35" i="6" s="1"/>
  <c r="T157" i="5"/>
  <c r="Y157" i="5" s="1"/>
  <c r="Y162" i="5"/>
  <c r="E28" i="6" s="1"/>
  <c r="T164" i="5"/>
  <c r="Y164" i="5" s="1"/>
  <c r="E30" i="6" s="1"/>
  <c r="T158" i="5"/>
  <c r="Y158" i="5" s="1"/>
  <c r="T163" i="5"/>
  <c r="Y163" i="5" s="1"/>
  <c r="E29" i="6" s="1"/>
  <c r="Y169" i="1"/>
  <c r="Y170" i="1"/>
  <c r="Y164" i="1"/>
  <c r="Y163" i="1"/>
  <c r="Y158" i="1"/>
  <c r="Y157" i="1"/>
</calcChain>
</file>

<file path=xl/sharedStrings.xml><?xml version="1.0" encoding="utf-8"?>
<sst xmlns="http://schemas.openxmlformats.org/spreadsheetml/2006/main" count="1762" uniqueCount="243">
  <si>
    <t>Oui</t>
  </si>
  <si>
    <t>Explorateur</t>
  </si>
  <si>
    <t>Bonus Collecteur</t>
  </si>
  <si>
    <t>Planète 1</t>
  </si>
  <si>
    <t>Planète 2</t>
  </si>
  <si>
    <t>Planète 3</t>
  </si>
  <si>
    <t>Planète 4</t>
  </si>
  <si>
    <t>Planète 5</t>
  </si>
  <si>
    <t>Planète 6</t>
  </si>
  <si>
    <t>Planète 7</t>
  </si>
  <si>
    <t>Planète 8</t>
  </si>
  <si>
    <t>Planète 9</t>
  </si>
  <si>
    <t>Planète 10</t>
  </si>
  <si>
    <t>Planète 11</t>
  </si>
  <si>
    <t>Planète 12</t>
  </si>
  <si>
    <t>Planète 13</t>
  </si>
  <si>
    <t>Planète 14</t>
  </si>
  <si>
    <t>Planète 15</t>
  </si>
  <si>
    <t>Planète 16</t>
  </si>
  <si>
    <t>Planète 17</t>
  </si>
  <si>
    <t>Planète 18</t>
  </si>
  <si>
    <t>Planète 19</t>
  </si>
  <si>
    <t>Planète 20</t>
  </si>
  <si>
    <t>Total</t>
  </si>
  <si>
    <t>Birgitte</t>
  </si>
  <si>
    <t>Température Max</t>
  </si>
  <si>
    <t>Race Choisie</t>
  </si>
  <si>
    <t>Rocta</t>
  </si>
  <si>
    <t>Méca</t>
  </si>
  <si>
    <t>Nb Max de foreuses</t>
  </si>
  <si>
    <t>Alerte Foreuse</t>
  </si>
  <si>
    <t>Mine de Métal</t>
  </si>
  <si>
    <t>Mine de Cristal</t>
  </si>
  <si>
    <t>Mine de Deut</t>
  </si>
  <si>
    <t>Centrale Fusion</t>
  </si>
  <si>
    <t>Nombre de Foreuses</t>
  </si>
  <si>
    <t>Tech Plasma</t>
  </si>
  <si>
    <t>% Bonus Objet Mét</t>
  </si>
  <si>
    <t>% Bonus Objet Cri</t>
  </si>
  <si>
    <t>% Bonus Objet Deut</t>
  </si>
  <si>
    <t>Métro (Humain) (0,5%)</t>
  </si>
  <si>
    <t>Transfo Hyper (Méca) (0,3%)</t>
  </si>
  <si>
    <t>Prod de Puces (Méca) (0,4%)</t>
  </si>
  <si>
    <t>Labo de Clonage (Kaelesh) (0,25%)</t>
  </si>
  <si>
    <t>1-2 Humain (Trio) (0,06%)</t>
  </si>
  <si>
    <t>Bonus Mét + Cri + Deut</t>
  </si>
  <si>
    <t>2-2 Humain (Trio) (0,06%)</t>
  </si>
  <si>
    <t>1-1 Méca (Deut) (0,08%)</t>
  </si>
  <si>
    <t>Bonus Deut</t>
  </si>
  <si>
    <t>1-6 Méca (Trio) (0,06%)</t>
  </si>
  <si>
    <t>3-1 Méca (Trio) (0,06%)</t>
  </si>
  <si>
    <t>1-2 Rocta (Cri) (0,08%)</t>
  </si>
  <si>
    <t>1-3 Rocta (Deut) (0,08%)</t>
  </si>
  <si>
    <t>1-5 Rocta (Trio) (0,06%)</t>
  </si>
  <si>
    <t>2-1 Rocta (Mét) (0,08%)</t>
  </si>
  <si>
    <t>Bonus Mét</t>
  </si>
  <si>
    <t>2-4 Rocta (Mét) (0,08%)</t>
  </si>
  <si>
    <t>2-5 Rocta (Cri) (0,08%)</t>
  </si>
  <si>
    <t>2-6 Rocta (Deut) (0,08%)</t>
  </si>
  <si>
    <t>3-6 Rocta (Collec) (0,02%)</t>
  </si>
  <si>
    <t>1-2 Kaelesh (Deut) (0,08%)</t>
  </si>
  <si>
    <t>2-6 Kaelesh (Trio) (0,06%)</t>
  </si>
  <si>
    <t>Base</t>
  </si>
  <si>
    <t>Prod. Métal (/h)</t>
  </si>
  <si>
    <t>Prod. Cristal (/h)</t>
  </si>
  <si>
    <t>Prod. Deut (/h)</t>
  </si>
  <si>
    <t>Conso. Deut (/h)</t>
  </si>
  <si>
    <t>Bat FDV</t>
  </si>
  <si>
    <t>Foreuses</t>
  </si>
  <si>
    <t>Foreuse Métal (/h)</t>
  </si>
  <si>
    <t>Foreuse Cristal (/h)</t>
  </si>
  <si>
    <t>Foreuse Deut (/h)</t>
  </si>
  <si>
    <t>Plasma</t>
  </si>
  <si>
    <t>Plasma Mét (/h)</t>
  </si>
  <si>
    <t>Plasma Cri (/h)</t>
  </si>
  <si>
    <t>Plasma Deut (/h)</t>
  </si>
  <si>
    <t>Objets</t>
  </si>
  <si>
    <t>Objet Mét (/h)</t>
  </si>
  <si>
    <t>Objet Cri (/h)</t>
  </si>
  <si>
    <t>Objet Deut (/h)</t>
  </si>
  <si>
    <t>Géologue</t>
  </si>
  <si>
    <t>Géologue Mét (/h)</t>
  </si>
  <si>
    <t>Géologue Cri (/h)</t>
  </si>
  <si>
    <t>Géologue Deut (/h)</t>
  </si>
  <si>
    <t>Full Offi</t>
  </si>
  <si>
    <t>Full Offi Mét (/h)</t>
  </si>
  <si>
    <t>Full Offi Cri (/h)</t>
  </si>
  <si>
    <t>Full Offi Deut (/h)</t>
  </si>
  <si>
    <t>Collecteur</t>
  </si>
  <si>
    <t>Collecteur Mét (/h)</t>
  </si>
  <si>
    <t>Collecteur Cri (/h)</t>
  </si>
  <si>
    <t>Collecteur Deut (/h)</t>
  </si>
  <si>
    <t>Marchand</t>
  </si>
  <si>
    <t>Marchand Mét (/h)</t>
  </si>
  <si>
    <t>Marchand Cri (/h)</t>
  </si>
  <si>
    <t>Marchand Deut (/h)</t>
  </si>
  <si>
    <t>Tech FDV</t>
  </si>
  <si>
    <t>1-2 Humain Mét (/h)</t>
  </si>
  <si>
    <t>1-2 Humain Cri (/h)</t>
  </si>
  <si>
    <t>1-2 Humain Deut (/h)</t>
  </si>
  <si>
    <t>2-2 Humain Mét (/h)</t>
  </si>
  <si>
    <t>2-2 Humain Cri (/h)</t>
  </si>
  <si>
    <t>2-2 Humain Deut (/h)</t>
  </si>
  <si>
    <t>1-1 Méca Deut (/h)</t>
  </si>
  <si>
    <t>1-6 Méca Mét (/h)</t>
  </si>
  <si>
    <t>1-6 Méca Cri (/h)</t>
  </si>
  <si>
    <t>1-6 Méca Deut (/h)</t>
  </si>
  <si>
    <t>3-1 Méca Mét (/h)</t>
  </si>
  <si>
    <t>3-1 Méca Cri (/h)</t>
  </si>
  <si>
    <t>3-1 Méca Deut (/h)</t>
  </si>
  <si>
    <t>1-3 Rocta Deut (/h)</t>
  </si>
  <si>
    <t>2-1 Rocta Mét (/h)</t>
  </si>
  <si>
    <t>2-4 Rocta Mét (/h)</t>
  </si>
  <si>
    <t>2-6 Kaelesh Mét (/h)</t>
  </si>
  <si>
    <t>2-6 Kaelesh Cri (/h)</t>
  </si>
  <si>
    <t>2-6 Kaelesh Deut (/h)</t>
  </si>
  <si>
    <t>Total Tech FDV Mét (/h)</t>
  </si>
  <si>
    <t>Total Tech FDV Cri (/h)</t>
  </si>
  <si>
    <t>Total Tech FDV Deut (/h)</t>
  </si>
  <si>
    <t>Total Prod</t>
  </si>
  <si>
    <t>Total Prod Mét (/h)</t>
  </si>
  <si>
    <t>Total Prod Cri (/h)</t>
  </si>
  <si>
    <t>Total Prod Deut (/h)</t>
  </si>
  <si>
    <t>Total Prod Mét (/j)</t>
  </si>
  <si>
    <t>Total Prod Cri (/j)</t>
  </si>
  <si>
    <t>Total Prod Deut (/j)</t>
  </si>
  <si>
    <t>Total Prod Mét (/sem)</t>
  </si>
  <si>
    <t>Total Prod Cri (/sem)</t>
  </si>
  <si>
    <t>Total Prod Deut (/sem)</t>
  </si>
  <si>
    <t>Total Prod Mét (/mois)</t>
  </si>
  <si>
    <t>Total Prod Cri (/mois)</t>
  </si>
  <si>
    <t>Total Prod Deut (/mois)</t>
  </si>
  <si>
    <t>Total Prod Mét (/an)</t>
  </si>
  <si>
    <t>Total Prod Cri (/an)</t>
  </si>
  <si>
    <t>Total Prod Deut (/an)</t>
  </si>
  <si>
    <t>Actif</t>
  </si>
  <si>
    <t>Inactif</t>
  </si>
  <si>
    <t>Bonus Cri</t>
  </si>
  <si>
    <t>1-2 Rocta Cri (/h)</t>
  </si>
  <si>
    <t>1-5 Rocta Mét (/h)</t>
  </si>
  <si>
    <t>1-5 Rocta Cri (/h)</t>
  </si>
  <si>
    <t>1-5 Rocta Deut (/h)</t>
  </si>
  <si>
    <t>2-5 Rocta Cri (/h)</t>
  </si>
  <si>
    <t>2-6 Rocta Deut (/h)</t>
  </si>
  <si>
    <t>1-2 Kaelesh Deut (/h)</t>
  </si>
  <si>
    <t>Fusion Magmatique (Rocta) (Mét 2%)</t>
  </si>
  <si>
    <t>Raffinerie de Cristaux (Rocta) (Cri 2%)</t>
  </si>
  <si>
    <t>Synto de Deut (Rocta) (Deut 2%)</t>
  </si>
  <si>
    <t>Fusion à haute énergie (Humains) (Mét 1,5%)</t>
  </si>
  <si>
    <t>Extraction par fusion (Humains) (Cri 1,5%)</t>
  </si>
  <si>
    <t>Extraction par fusion (Humains) (Deut 1%)</t>
  </si>
  <si>
    <t>Synthétiseur à haut rendement (Méca) (Deut 2%)</t>
  </si>
  <si>
    <t>Boost Bat Rocta Mét (/h)</t>
  </si>
  <si>
    <t>Boost Bat Rocta Cri (/h)</t>
  </si>
  <si>
    <t>Boost Bat Rocta Deut (/h)</t>
  </si>
  <si>
    <t>Boost Bat Humains Mét (/h)</t>
  </si>
  <si>
    <t>Boost Bat Humains Cri (/h)</t>
  </si>
  <si>
    <t>Boost Bat Humains Deut (/h)</t>
  </si>
  <si>
    <t>Humains</t>
  </si>
  <si>
    <t>Total Points Produits (/an)</t>
  </si>
  <si>
    <t>Total Points Produits (/h)</t>
  </si>
  <si>
    <t>Total USM Produits (/h)</t>
  </si>
  <si>
    <t>Total Points Produits (/j)</t>
  </si>
  <si>
    <t>Total USM Produits (/j)</t>
  </si>
  <si>
    <t>Total Points Produits (/sem)</t>
  </si>
  <si>
    <t>Total USM Produits (/sem)</t>
  </si>
  <si>
    <t>Total Points Produits (/mois)</t>
  </si>
  <si>
    <t>Total USM Produits (/mois)</t>
  </si>
  <si>
    <t>Total USM Produits (/an)</t>
  </si>
  <si>
    <t>Détail Prod</t>
  </si>
  <si>
    <t>Totaux Prod</t>
  </si>
  <si>
    <t>/h</t>
  </si>
  <si>
    <t>/j</t>
  </si>
  <si>
    <t>/sem</t>
  </si>
  <si>
    <t>/mois</t>
  </si>
  <si>
    <t>/an</t>
  </si>
  <si>
    <t>Revenu de départ Métal (/h)</t>
  </si>
  <si>
    <t>Revenu de départ Cristal (/h)</t>
  </si>
  <si>
    <t>Bonus Métal Par Planète</t>
  </si>
  <si>
    <t>Bonus Cristal Par Planète</t>
  </si>
  <si>
    <t>Bonus Deut Par Planète</t>
  </si>
  <si>
    <t>N° de Planète</t>
  </si>
  <si>
    <t>Nom de Planète</t>
  </si>
  <si>
    <t>Coordonnées de la Planète</t>
  </si>
  <si>
    <t>Position de la Planète</t>
  </si>
  <si>
    <t>3:198:15</t>
  </si>
  <si>
    <t>●</t>
  </si>
  <si>
    <t>Infos de Base</t>
  </si>
  <si>
    <t>Remplir la ligne</t>
  </si>
  <si>
    <t>Infos Mines &amp; Bats Prod FDV</t>
  </si>
  <si>
    <t>Bat Boost Tech FDV</t>
  </si>
  <si>
    <t>Ne pas toucher la ligne (formules)</t>
  </si>
  <si>
    <t>M</t>
  </si>
  <si>
    <t>C</t>
  </si>
  <si>
    <t>D</t>
  </si>
  <si>
    <t>GLO</t>
  </si>
  <si>
    <t>USM</t>
  </si>
  <si>
    <t>Bonus Tech FDV</t>
  </si>
  <si>
    <t>Bonus Métal Global</t>
  </si>
  <si>
    <t>Bonus Cristal Global</t>
  </si>
  <si>
    <t>Bonus Deut Global</t>
  </si>
  <si>
    <t>Synthèse Gain/Perte</t>
  </si>
  <si>
    <t>Onglet 1. Base</t>
  </si>
  <si>
    <t>Dans cet onglet vous allez remplir les infos de votre compte</t>
  </si>
  <si>
    <t>Attention de ne modifier que les cellules des lignes avec pastille bleues !</t>
  </si>
  <si>
    <t>Onglet 2. Simulation</t>
  </si>
  <si>
    <t>Dans cet onglet, vous allez venir remplir les infos de ce que vous souhaitez changer</t>
  </si>
  <si>
    <t>Onglet 3. Comparaison</t>
  </si>
  <si>
    <t>Dans cet onglet, rien besoin de remplir, vous pourrez voir ligne par ligne ce qui est modifié entre la Simulation et la Base</t>
  </si>
  <si>
    <t>Par défaut, ce qui est en vert est amélioré dans la Simulation</t>
  </si>
  <si>
    <t>Par défaut, ce qui est en rouge est déprécié dans la Simulation</t>
  </si>
  <si>
    <t>Onglet 4. Synthèse</t>
  </si>
  <si>
    <t>Dans cet onglet, idem, rien besoin de remplir, vous aurez une vue un peu plus synthétique de vos gains/pertes</t>
  </si>
  <si>
    <t>SIMULATEUR DE PRODUCTION</t>
  </si>
  <si>
    <r>
      <t xml:space="preserve">Vitesse de l'Univers </t>
    </r>
    <r>
      <rPr>
        <sz val="11"/>
        <color rgb="FF0066FF"/>
        <rFont val="Aptos Narrow"/>
        <family val="2"/>
        <scheme val="minor"/>
      </rPr>
      <t>●</t>
    </r>
  </si>
  <si>
    <r>
      <t xml:space="preserve">Classe choisie </t>
    </r>
    <r>
      <rPr>
        <sz val="11"/>
        <color rgb="FF0066FF"/>
        <rFont val="Aptos Narrow"/>
        <family val="2"/>
        <scheme val="minor"/>
      </rPr>
      <t>●</t>
    </r>
  </si>
  <si>
    <r>
      <t xml:space="preserve">Géologue Actif </t>
    </r>
    <r>
      <rPr>
        <sz val="11"/>
        <color rgb="FF0066FF"/>
        <rFont val="Aptos Narrow"/>
        <family val="2"/>
        <scheme val="minor"/>
      </rPr>
      <t>●</t>
    </r>
  </si>
  <si>
    <r>
      <t xml:space="preserve">Full Offi Actif </t>
    </r>
    <r>
      <rPr>
        <sz val="11"/>
        <color rgb="FF0066FF"/>
        <rFont val="Aptos Narrow"/>
        <family val="2"/>
        <scheme val="minor"/>
      </rPr>
      <t>●</t>
    </r>
  </si>
  <si>
    <r>
      <t xml:space="preserve">Classe Marchand </t>
    </r>
    <r>
      <rPr>
        <sz val="11"/>
        <color rgb="FF0066FF"/>
        <rFont val="Aptos Narrow"/>
        <family val="2"/>
        <scheme val="minor"/>
      </rPr>
      <t>●</t>
    </r>
  </si>
  <si>
    <r>
      <t xml:space="preserve">Bonus Humain </t>
    </r>
    <r>
      <rPr>
        <sz val="11"/>
        <color rgb="FF0066FF"/>
        <rFont val="Aptos Narrow"/>
        <family val="2"/>
        <scheme val="minor"/>
      </rPr>
      <t>●</t>
    </r>
  </si>
  <si>
    <r>
      <t xml:space="preserve">Bonus Méca </t>
    </r>
    <r>
      <rPr>
        <sz val="11"/>
        <color rgb="FF0066FF"/>
        <rFont val="Aptos Narrow"/>
        <family val="2"/>
        <scheme val="minor"/>
      </rPr>
      <t>●</t>
    </r>
  </si>
  <si>
    <r>
      <t xml:space="preserve">Bonus Rocta </t>
    </r>
    <r>
      <rPr>
        <sz val="11"/>
        <color rgb="FF0066FF"/>
        <rFont val="Aptos Narrow"/>
        <family val="2"/>
        <scheme val="minor"/>
      </rPr>
      <t>●</t>
    </r>
  </si>
  <si>
    <r>
      <t xml:space="preserve">Bonus Kaelesh </t>
    </r>
    <r>
      <rPr>
        <sz val="11"/>
        <color rgb="FF0066FF"/>
        <rFont val="Aptos Narrow"/>
        <family val="2"/>
        <scheme val="minor"/>
      </rPr>
      <t>●</t>
    </r>
  </si>
  <si>
    <r>
      <t xml:space="preserve">Bonus Métal Global Tech FDV </t>
    </r>
    <r>
      <rPr>
        <sz val="11"/>
        <color rgb="FFFF0000"/>
        <rFont val="Aptos Narrow"/>
        <family val="2"/>
        <scheme val="minor"/>
      </rPr>
      <t>●</t>
    </r>
  </si>
  <si>
    <r>
      <t xml:space="preserve">Bonus Cristal Global tech FDV </t>
    </r>
    <r>
      <rPr>
        <sz val="11"/>
        <color rgb="FFFF0000"/>
        <rFont val="Aptos Narrow"/>
        <family val="2"/>
        <scheme val="minor"/>
      </rPr>
      <t>●</t>
    </r>
  </si>
  <si>
    <r>
      <t xml:space="preserve">Bonus Deut Global Tech FDV </t>
    </r>
    <r>
      <rPr>
        <sz val="11"/>
        <color rgb="FFFF0000"/>
        <rFont val="Aptos Narrow"/>
        <family val="2"/>
        <scheme val="minor"/>
      </rPr>
      <t>●</t>
    </r>
  </si>
  <si>
    <r>
      <t xml:space="preserve">Bonus Collecteur </t>
    </r>
    <r>
      <rPr>
        <sz val="11"/>
        <color rgb="FFFF0000"/>
        <rFont val="Aptos Narrow"/>
        <family val="2"/>
        <scheme val="minor"/>
      </rPr>
      <t>●</t>
    </r>
  </si>
  <si>
    <r>
      <t xml:space="preserve">Classe choisie </t>
    </r>
    <r>
      <rPr>
        <sz val="11"/>
        <color rgb="FFFF0000"/>
        <rFont val="Aptos Narrow"/>
        <family val="2"/>
        <scheme val="minor"/>
      </rPr>
      <t>●</t>
    </r>
  </si>
  <si>
    <r>
      <t xml:space="preserve">Bonus Humain </t>
    </r>
    <r>
      <rPr>
        <sz val="11"/>
        <color rgb="FFFF0000"/>
        <rFont val="Aptos Narrow"/>
        <family val="2"/>
        <scheme val="minor"/>
      </rPr>
      <t>●</t>
    </r>
  </si>
  <si>
    <r>
      <t xml:space="preserve">Bonus Méca </t>
    </r>
    <r>
      <rPr>
        <sz val="11"/>
        <color rgb="FFFF0000"/>
        <rFont val="Aptos Narrow"/>
        <family val="2"/>
        <scheme val="minor"/>
      </rPr>
      <t>●</t>
    </r>
  </si>
  <si>
    <r>
      <t xml:space="preserve">Bonus Rocta </t>
    </r>
    <r>
      <rPr>
        <sz val="11"/>
        <color rgb="FFFF0000"/>
        <rFont val="Aptos Narrow"/>
        <family val="2"/>
        <scheme val="minor"/>
      </rPr>
      <t>●</t>
    </r>
  </si>
  <si>
    <r>
      <t xml:space="preserve">Bonus Kaelesh </t>
    </r>
    <r>
      <rPr>
        <sz val="11"/>
        <color rgb="FFFF0000"/>
        <rFont val="Aptos Narrow"/>
        <family val="2"/>
        <scheme val="minor"/>
      </rPr>
      <t>●</t>
    </r>
  </si>
  <si>
    <t>by Loryan</t>
  </si>
  <si>
    <t>A retenir</t>
  </si>
  <si>
    <t>Les arrondis peuvent fausser l'affichage mais les données sont justes, si vous voulez adapter les arrondis à 3 chiffres après la virgules c'est possible</t>
  </si>
  <si>
    <t>Liste Actif/Inactif</t>
  </si>
  <si>
    <t>Kaelesh</t>
  </si>
  <si>
    <t>Liste FDV</t>
  </si>
  <si>
    <t>Liste Classe</t>
  </si>
  <si>
    <t>Général</t>
  </si>
  <si>
    <t>Liste O/N</t>
  </si>
  <si>
    <t>Non</t>
  </si>
  <si>
    <t>Je vous ai rempli une première planète exemple pour que vous ayez une idée de ce que ça donne une fois rempli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</si>
</sst>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,&quot; k&quot;"/>
    <numFmt numFmtId="165" formatCode="0.0%"/>
    <numFmt numFmtId="166" formatCode="#,##0,,&quot; M&quot;"/>
    <numFmt numFmtId="167" formatCode="#,##0.00,,,&quot; G&quot;"/>
    <numFmt numFmtId="168" formatCode="#,##0.00,,,,&quot; T&quot;"/>
  </numFmts>
  <fonts count="2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6FF"/>
      <name val="Aptos Narrow"/>
      <family val="2"/>
    </font>
    <font>
      <b/>
      <sz val="11"/>
      <color rgb="FF0066FF"/>
      <name val="Aptos Narrow"/>
    </font>
    <font>
      <b/>
      <sz val="12"/>
      <color theme="1"/>
      <name val="Aptos Narrow"/>
      <family val="2"/>
      <scheme val="minor"/>
    </font>
    <font>
      <sz val="11"/>
      <color rgb="FF0066FF"/>
      <name val="Aptos Narrow"/>
      <family val="2"/>
      <scheme val="minor"/>
    </font>
    <font>
      <b/>
      <sz val="18"/>
      <color rgb="FF0066FF"/>
      <name val="Aptos Narrow"/>
      <family val="2"/>
    </font>
    <font>
      <b/>
      <sz val="18"/>
      <color rgb="FF0066FF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1"/>
      <color rgb="FFFF0000"/>
      <name val="Aptos Narrow"/>
    </font>
    <font>
      <b/>
      <sz val="18"/>
      <color rgb="FFFF0000"/>
      <name val="Aptos Narrow"/>
      <family val="2"/>
    </font>
    <font>
      <b/>
      <sz val="18"/>
      <color rgb="FFFF000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/>
      <top style="dashed">
        <color rgb="FF0070C0"/>
      </top>
      <bottom style="dashed">
        <color rgb="FF0070C0"/>
      </bottom>
      <diagonal/>
    </border>
    <border>
      <left/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0" fontId="7" fillId="0" borderId="0" xfId="0" applyFont="1"/>
    <xf numFmtId="0" fontId="8" fillId="0" borderId="0" xfId="0" applyFont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68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0" fontId="23" fillId="0" borderId="0" xfId="0" applyFont="1"/>
    <xf numFmtId="0" fontId="3" fillId="0" borderId="0" xfId="0" applyFont="1" applyAlignment="1">
      <alignment horizontal="right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5" fillId="0" borderId="0" xfId="0" applyFont="1"/>
  </cellXfs>
  <cellStyles count="1">
    <cellStyle name="Normal" xfId="0" builtinId="0"/>
  </cellStyles>
  <dxfs count="29">
    <dxf>
      <fill>
        <patternFill>
          <bgColor rgb="FFFFFFCC"/>
        </patternFill>
      </fill>
    </dxf>
    <dxf>
      <font>
        <color theme="7" tint="-0.24994659260841701"/>
      </font>
    </dxf>
    <dxf>
      <fill>
        <patternFill>
          <bgColor rgb="FFFFFFCC"/>
        </patternFill>
      </fill>
    </dxf>
    <dxf>
      <font>
        <color theme="7" tint="-0.24994659260841701"/>
      </font>
    </dxf>
    <dxf>
      <fill>
        <patternFill>
          <bgColor rgb="FFFFFFCC"/>
        </patternFill>
      </fill>
    </dxf>
    <dxf>
      <font>
        <color theme="7" tint="-0.24994659260841701"/>
      </font>
    </dxf>
    <dxf>
      <fill>
        <patternFill>
          <bgColor rgb="FFFFFFCC"/>
        </patternFill>
      </fill>
    </dxf>
    <dxf>
      <font>
        <color theme="7" tint="-0.24994659260841701"/>
      </font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1"/>
      </font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color theme="7" tint="-0.24994659260841701"/>
      </font>
    </dxf>
    <dxf>
      <font>
        <b/>
        <i val="0"/>
        <color rgb="FF00B050"/>
      </font>
    </dxf>
    <dxf>
      <font>
        <b/>
        <i val="0"/>
        <color rgb="FFC00000"/>
      </font>
    </dxf>
    <dxf>
      <fill>
        <patternFill>
          <bgColor rgb="FFFFFFCC"/>
        </patternFill>
      </fill>
    </dxf>
    <dxf>
      <font>
        <color theme="7" tint="-0.24994659260841701"/>
      </font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rgb="FF00B050"/>
      </font>
    </dxf>
    <dxf>
      <font>
        <b/>
        <i val="0"/>
        <color rgb="FFC00000"/>
      </font>
    </dxf>
    <dxf>
      <fill>
        <patternFill>
          <bgColor rgb="FFFFFFCC"/>
        </patternFill>
      </fill>
    </dxf>
    <dxf>
      <font>
        <color theme="7" tint="-0.24994659260841701"/>
      </font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66FF"/>
      <color rgb="FFFFFFCC"/>
      <color rgb="FFFFFFE1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5F9F-1865-4365-827A-6AEC146D9756}">
  <dimension ref="B1:L21"/>
  <sheetViews>
    <sheetView showGridLines="0" tabSelected="1" workbookViewId="0"/>
  </sheetViews>
  <sheetFormatPr baseColWidth="10" defaultRowHeight="14.4" x14ac:dyDescent="0.3"/>
  <cols>
    <col min="1" max="1" width="2.109375" customWidth="1"/>
    <col min="2" max="2" width="21.6640625" bestFit="1" customWidth="1"/>
    <col min="3" max="12" width="12.44140625" customWidth="1"/>
  </cols>
  <sheetData>
    <row r="1" spans="2:12" ht="15" thickBot="1" x14ac:dyDescent="0.35"/>
    <row r="2" spans="2:12" x14ac:dyDescent="0.3">
      <c r="B2" s="51" t="s">
        <v>213</v>
      </c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2:12" ht="15" thickBot="1" x14ac:dyDescent="0.35">
      <c r="B3" s="54"/>
      <c r="C3" s="55"/>
      <c r="D3" s="55"/>
      <c r="E3" s="55"/>
      <c r="F3" s="55"/>
      <c r="G3" s="55"/>
      <c r="H3" s="55"/>
      <c r="I3" s="55"/>
      <c r="J3" s="55"/>
      <c r="K3" s="55"/>
      <c r="L3" s="56"/>
    </row>
    <row r="4" spans="2:12" x14ac:dyDescent="0.3">
      <c r="L4" s="50" t="s">
        <v>232</v>
      </c>
    </row>
    <row r="6" spans="2:12" x14ac:dyDescent="0.3">
      <c r="B6" s="5" t="s">
        <v>202</v>
      </c>
      <c r="C6" s="49" t="s">
        <v>203</v>
      </c>
    </row>
    <row r="7" spans="2:12" x14ac:dyDescent="0.3">
      <c r="C7" s="48" t="s">
        <v>204</v>
      </c>
    </row>
    <row r="9" spans="2:12" x14ac:dyDescent="0.3">
      <c r="B9" s="5" t="s">
        <v>205</v>
      </c>
      <c r="C9" s="49" t="s">
        <v>206</v>
      </c>
    </row>
    <row r="10" spans="2:12" x14ac:dyDescent="0.3">
      <c r="C10" s="48" t="s">
        <v>204</v>
      </c>
    </row>
    <row r="12" spans="2:12" x14ac:dyDescent="0.3">
      <c r="B12" s="5" t="s">
        <v>207</v>
      </c>
      <c r="C12" s="49" t="s">
        <v>208</v>
      </c>
    </row>
    <row r="13" spans="2:12" x14ac:dyDescent="0.3">
      <c r="C13" s="48" t="s">
        <v>209</v>
      </c>
    </row>
    <row r="14" spans="2:12" x14ac:dyDescent="0.3">
      <c r="C14" s="48" t="s">
        <v>210</v>
      </c>
    </row>
    <row r="16" spans="2:12" x14ac:dyDescent="0.3">
      <c r="B16" s="5" t="s">
        <v>211</v>
      </c>
      <c r="C16" s="49" t="s">
        <v>212</v>
      </c>
    </row>
    <row r="17" spans="2:3" x14ac:dyDescent="0.3">
      <c r="C17" s="48" t="s">
        <v>209</v>
      </c>
    </row>
    <row r="18" spans="2:3" x14ac:dyDescent="0.3">
      <c r="C18" s="48" t="s">
        <v>210</v>
      </c>
    </row>
    <row r="20" spans="2:3" x14ac:dyDescent="0.3">
      <c r="B20" s="5" t="s">
        <v>233</v>
      </c>
      <c r="C20" s="65" t="s">
        <v>234</v>
      </c>
    </row>
    <row r="21" spans="2:3" x14ac:dyDescent="0.3">
      <c r="C21" s="65" t="s">
        <v>242</v>
      </c>
    </row>
  </sheetData>
  <mergeCells count="1">
    <mergeCell ref="B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AC09-D4CD-4ED5-88E8-AC92B2D62528}">
  <dimension ref="B1:Z171"/>
  <sheetViews>
    <sheetView showGridLines="0" zoomScale="70" zoomScaleNormal="70" workbookViewId="0">
      <pane ySplit="16" topLeftCell="A17" activePane="bottomLeft" state="frozen"/>
      <selection pane="bottomLeft"/>
    </sheetView>
  </sheetViews>
  <sheetFormatPr baseColWidth="10" defaultColWidth="11.44140625" defaultRowHeight="14.4" outlineLevelRow="2" x14ac:dyDescent="0.3"/>
  <cols>
    <col min="1" max="1" width="2.5546875" customWidth="1"/>
    <col min="2" max="2" width="12.109375" customWidth="1"/>
    <col min="3" max="3" width="10.109375" customWidth="1"/>
    <col min="4" max="4" width="43.88671875" bestFit="1" customWidth="1"/>
    <col min="5" max="25" width="10.33203125" customWidth="1"/>
    <col min="26" max="26" width="5.5546875" customWidth="1"/>
  </cols>
  <sheetData>
    <row r="1" spans="2:25" ht="6" customHeight="1" x14ac:dyDescent="0.3"/>
    <row r="2" spans="2:25" ht="14.4" customHeight="1" x14ac:dyDescent="0.3">
      <c r="D2" s="9" t="s">
        <v>214</v>
      </c>
      <c r="E2" s="59">
        <v>10</v>
      </c>
      <c r="F2" s="61"/>
      <c r="G2" s="59" t="s">
        <v>216</v>
      </c>
      <c r="H2" s="59"/>
      <c r="I2" s="59" t="s">
        <v>0</v>
      </c>
      <c r="J2" s="61"/>
      <c r="K2" s="59" t="s">
        <v>219</v>
      </c>
      <c r="L2" s="59"/>
      <c r="M2" s="60">
        <v>9.9000000000000005E-2</v>
      </c>
      <c r="N2" s="60"/>
      <c r="P2" s="58" t="s">
        <v>223</v>
      </c>
      <c r="Q2" s="58"/>
      <c r="R2" s="58"/>
      <c r="S2" s="58"/>
      <c r="T2" s="21">
        <f>Y41+Y43+Y47+Y49+Y57+Y59+Y69</f>
        <v>7.9419999999999991E-2</v>
      </c>
    </row>
    <row r="3" spans="2:25" x14ac:dyDescent="0.3">
      <c r="D3" s="9" t="s">
        <v>215</v>
      </c>
      <c r="E3" s="59" t="s">
        <v>1</v>
      </c>
      <c r="F3" s="61"/>
      <c r="G3" s="58" t="s">
        <v>217</v>
      </c>
      <c r="H3" s="58"/>
      <c r="I3" s="59" t="s">
        <v>0</v>
      </c>
      <c r="J3" s="61"/>
      <c r="K3" s="59" t="s">
        <v>220</v>
      </c>
      <c r="L3" s="59"/>
      <c r="M3" s="60">
        <v>9.7000000000000003E-2</v>
      </c>
      <c r="N3" s="60"/>
      <c r="P3" s="58" t="s">
        <v>224</v>
      </c>
      <c r="Q3" s="58"/>
      <c r="R3" s="58"/>
      <c r="S3" s="58"/>
      <c r="T3" s="21">
        <f>Y41+Y43+Y47+Y49+Y69</f>
        <v>5.2139999999999992E-2</v>
      </c>
    </row>
    <row r="4" spans="2:25" x14ac:dyDescent="0.3">
      <c r="E4" s="2"/>
      <c r="F4" s="2"/>
      <c r="G4" s="59" t="s">
        <v>218</v>
      </c>
      <c r="H4" s="59"/>
      <c r="I4" s="59" t="s">
        <v>0</v>
      </c>
      <c r="J4" s="61"/>
      <c r="K4" s="59" t="s">
        <v>221</v>
      </c>
      <c r="L4" s="59"/>
      <c r="M4" s="60">
        <v>0.1</v>
      </c>
      <c r="N4" s="60"/>
      <c r="P4" s="58" t="s">
        <v>225</v>
      </c>
      <c r="Q4" s="58"/>
      <c r="R4" s="58"/>
      <c r="S4" s="58"/>
      <c r="T4" s="21">
        <f>Y41+Y43+Y45+Y47+Y49+Y53+Y69</f>
        <v>8.6459999999999981E-2</v>
      </c>
    </row>
    <row r="5" spans="2:25" ht="15" customHeight="1" x14ac:dyDescent="0.3">
      <c r="D5" s="37"/>
      <c r="K5" s="59" t="s">
        <v>222</v>
      </c>
      <c r="L5" s="59"/>
      <c r="M5" s="60">
        <v>9.8000000000000004E-2</v>
      </c>
      <c r="N5" s="60"/>
      <c r="P5" s="58" t="s">
        <v>226</v>
      </c>
      <c r="Q5" s="58"/>
      <c r="R5" s="58"/>
      <c r="S5" s="58"/>
      <c r="T5" s="21">
        <f>Y65</f>
        <v>0</v>
      </c>
    </row>
    <row r="6" spans="2:25" ht="23.25" customHeight="1" x14ac:dyDescent="0.3">
      <c r="B6" s="36" t="s">
        <v>186</v>
      </c>
      <c r="C6" s="37" t="s">
        <v>188</v>
      </c>
      <c r="D6" s="37"/>
    </row>
    <row r="7" spans="2:25" ht="23.25" customHeight="1" x14ac:dyDescent="0.45">
      <c r="B7" s="38" t="s">
        <v>186</v>
      </c>
      <c r="C7" s="39" t="s">
        <v>191</v>
      </c>
    </row>
    <row r="8" spans="2:25" ht="30.9" customHeight="1" x14ac:dyDescent="0.3">
      <c r="D8" s="28" t="s">
        <v>181</v>
      </c>
      <c r="E8" s="29" t="s">
        <v>3</v>
      </c>
      <c r="F8" s="29" t="s">
        <v>4</v>
      </c>
      <c r="G8" s="29" t="s">
        <v>5</v>
      </c>
      <c r="H8" s="29" t="s">
        <v>6</v>
      </c>
      <c r="I8" s="29" t="s">
        <v>7</v>
      </c>
      <c r="J8" s="29" t="s">
        <v>8</v>
      </c>
      <c r="K8" s="29" t="s">
        <v>9</v>
      </c>
      <c r="L8" s="29" t="s">
        <v>10</v>
      </c>
      <c r="M8" s="29" t="s">
        <v>11</v>
      </c>
      <c r="N8" s="29" t="s">
        <v>12</v>
      </c>
      <c r="O8" s="29" t="s">
        <v>13</v>
      </c>
      <c r="P8" s="29" t="s">
        <v>14</v>
      </c>
      <c r="Q8" s="29" t="s">
        <v>15</v>
      </c>
      <c r="R8" s="29" t="s">
        <v>16</v>
      </c>
      <c r="S8" s="29" t="s">
        <v>17</v>
      </c>
      <c r="T8" s="29" t="s">
        <v>18</v>
      </c>
      <c r="U8" s="29" t="s">
        <v>19</v>
      </c>
      <c r="V8" s="29" t="s">
        <v>20</v>
      </c>
      <c r="W8" s="29" t="s">
        <v>21</v>
      </c>
      <c r="X8" s="29" t="s">
        <v>22</v>
      </c>
      <c r="Y8" s="30" t="s">
        <v>23</v>
      </c>
    </row>
    <row r="9" spans="2:25" x14ac:dyDescent="0.3">
      <c r="B9" s="32" t="s">
        <v>186</v>
      </c>
      <c r="C9" s="57" t="s">
        <v>187</v>
      </c>
      <c r="D9" s="7" t="s">
        <v>182</v>
      </c>
      <c r="E9" s="8" t="s">
        <v>24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2:25" x14ac:dyDescent="0.3">
      <c r="B10" s="32" t="s">
        <v>186</v>
      </c>
      <c r="C10" s="57"/>
      <c r="D10" s="7" t="s">
        <v>183</v>
      </c>
      <c r="E10" s="9" t="s">
        <v>185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2:25" x14ac:dyDescent="0.3">
      <c r="B11" s="31" t="s">
        <v>186</v>
      </c>
      <c r="C11" s="57"/>
      <c r="D11" s="7" t="s">
        <v>184</v>
      </c>
      <c r="E11" s="9">
        <f t="shared" ref="E11:U11" si="0">--MID(E10,SEARCH(":",E10,SEARCH(":",E10)+1)+1,LEN(E10))</f>
        <v>15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2:25" ht="15" customHeight="1" x14ac:dyDescent="0.3">
      <c r="B12" s="31" t="s">
        <v>186</v>
      </c>
      <c r="C12" s="57"/>
      <c r="D12" s="7" t="s">
        <v>25</v>
      </c>
      <c r="E12" s="9">
        <v>-130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1"/>
    </row>
    <row r="13" spans="2:25" ht="15" customHeight="1" x14ac:dyDescent="0.3">
      <c r="B13" s="31" t="s">
        <v>186</v>
      </c>
      <c r="C13" s="57"/>
      <c r="D13" s="7" t="s">
        <v>26</v>
      </c>
      <c r="E13" s="9" t="s">
        <v>27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1"/>
    </row>
    <row r="14" spans="2:25" ht="15" customHeight="1" x14ac:dyDescent="0.3">
      <c r="B14" s="34" t="s">
        <v>186</v>
      </c>
      <c r="C14" s="57"/>
      <c r="D14" s="7" t="s">
        <v>29</v>
      </c>
      <c r="E14" s="9">
        <f>IF(AND($E$3="Collecteur",$I$2="Oui"),(E17+E18+E19)*8*1.1,(E17+E18+E19)*8)</f>
        <v>1040</v>
      </c>
      <c r="F14" s="9">
        <f t="shared" ref="F14:X14" si="1">IF(AND($E$3="Collecteur",$I$2="Oui"),(F17+F18+F19)*8*1.1,(F17+F18+F19)*8)</f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  <c r="N14" s="9">
        <f t="shared" si="1"/>
        <v>0</v>
      </c>
      <c r="O14" s="9">
        <f t="shared" si="1"/>
        <v>0</v>
      </c>
      <c r="P14" s="9">
        <f t="shared" si="1"/>
        <v>0</v>
      </c>
      <c r="Q14" s="9">
        <f t="shared" si="1"/>
        <v>0</v>
      </c>
      <c r="R14" s="9">
        <f t="shared" si="1"/>
        <v>0</v>
      </c>
      <c r="S14" s="9">
        <f t="shared" si="1"/>
        <v>0</v>
      </c>
      <c r="T14" s="9">
        <f t="shared" si="1"/>
        <v>0</v>
      </c>
      <c r="U14" s="9">
        <f t="shared" si="1"/>
        <v>0</v>
      </c>
      <c r="V14" s="9">
        <f t="shared" si="1"/>
        <v>0</v>
      </c>
      <c r="W14" s="9">
        <f t="shared" si="1"/>
        <v>0</v>
      </c>
      <c r="X14" s="9">
        <f t="shared" si="1"/>
        <v>0</v>
      </c>
      <c r="Y14" s="11"/>
    </row>
    <row r="15" spans="2:25" ht="15" customHeight="1" x14ac:dyDescent="0.3">
      <c r="B15" s="34" t="s">
        <v>186</v>
      </c>
      <c r="C15" s="57"/>
      <c r="D15" s="7" t="s">
        <v>30</v>
      </c>
      <c r="E15" s="9" t="str">
        <f>IF(E28&gt;=E14,"OK","UP")</f>
        <v>OK</v>
      </c>
      <c r="F15" s="9" t="str">
        <f t="shared" ref="F15:U15" si="2">IF(F28&gt;=F14,"OK","UP")</f>
        <v>OK</v>
      </c>
      <c r="G15" s="9" t="str">
        <f t="shared" si="2"/>
        <v>OK</v>
      </c>
      <c r="H15" s="9" t="str">
        <f t="shared" si="2"/>
        <v>OK</v>
      </c>
      <c r="I15" s="9" t="str">
        <f t="shared" si="2"/>
        <v>OK</v>
      </c>
      <c r="J15" s="9" t="str">
        <f t="shared" si="2"/>
        <v>OK</v>
      </c>
      <c r="K15" s="9" t="str">
        <f t="shared" si="2"/>
        <v>OK</v>
      </c>
      <c r="L15" s="9" t="str">
        <f t="shared" si="2"/>
        <v>OK</v>
      </c>
      <c r="M15" s="9" t="str">
        <f t="shared" si="2"/>
        <v>OK</v>
      </c>
      <c r="N15" s="9" t="str">
        <f t="shared" si="2"/>
        <v>OK</v>
      </c>
      <c r="O15" s="9" t="str">
        <f t="shared" si="2"/>
        <v>OK</v>
      </c>
      <c r="P15" s="9" t="str">
        <f t="shared" si="2"/>
        <v>OK</v>
      </c>
      <c r="Q15" s="9" t="str">
        <f t="shared" si="2"/>
        <v>OK</v>
      </c>
      <c r="R15" s="9" t="str">
        <f t="shared" si="2"/>
        <v>OK</v>
      </c>
      <c r="S15" s="9" t="str">
        <f t="shared" si="2"/>
        <v>OK</v>
      </c>
      <c r="T15" s="9" t="str">
        <f t="shared" si="2"/>
        <v>OK</v>
      </c>
      <c r="U15" s="9" t="str">
        <f t="shared" si="2"/>
        <v>OK</v>
      </c>
      <c r="V15" s="9" t="str">
        <f t="shared" ref="V15:X15" si="3">IF(V28&gt;=V14,"OK","UP")</f>
        <v>OK</v>
      </c>
      <c r="W15" s="9" t="str">
        <f t="shared" si="3"/>
        <v>OK</v>
      </c>
      <c r="X15" s="9" t="str">
        <f t="shared" si="3"/>
        <v>OK</v>
      </c>
      <c r="Y15" s="11"/>
    </row>
    <row r="16" spans="2:25" ht="15" customHeight="1" x14ac:dyDescent="0.3">
      <c r="B16" s="3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2:25" ht="15" customHeight="1" x14ac:dyDescent="0.3">
      <c r="B17" s="31" t="s">
        <v>186</v>
      </c>
      <c r="C17" s="57" t="s">
        <v>189</v>
      </c>
      <c r="D17" s="33" t="s">
        <v>31</v>
      </c>
      <c r="E17" s="9">
        <v>48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>
        <f>SUM(E17:X17)</f>
        <v>48</v>
      </c>
    </row>
    <row r="18" spans="2:25" ht="15" customHeight="1" x14ac:dyDescent="0.3">
      <c r="B18" s="31" t="s">
        <v>186</v>
      </c>
      <c r="C18" s="57"/>
      <c r="D18" s="33" t="s">
        <v>32</v>
      </c>
      <c r="E18" s="9">
        <v>39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>
        <f t="shared" ref="Y18:Y28" si="4">SUM(E18:X18)</f>
        <v>39</v>
      </c>
    </row>
    <row r="19" spans="2:25" ht="15" customHeight="1" x14ac:dyDescent="0.3">
      <c r="B19" s="31" t="s">
        <v>186</v>
      </c>
      <c r="C19" s="57"/>
      <c r="D19" s="33" t="s">
        <v>33</v>
      </c>
      <c r="E19" s="9">
        <v>43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>
        <f t="shared" si="4"/>
        <v>43</v>
      </c>
    </row>
    <row r="20" spans="2:25" ht="15" customHeight="1" x14ac:dyDescent="0.3">
      <c r="B20" s="31" t="s">
        <v>186</v>
      </c>
      <c r="C20" s="57"/>
      <c r="D20" s="33" t="s">
        <v>34</v>
      </c>
      <c r="E20" s="9">
        <v>24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>
        <f t="shared" si="4"/>
        <v>24</v>
      </c>
    </row>
    <row r="21" spans="2:25" ht="15" customHeight="1" x14ac:dyDescent="0.3">
      <c r="B21" s="31" t="s">
        <v>186</v>
      </c>
      <c r="C21" s="57"/>
      <c r="D21" s="33" t="s">
        <v>145</v>
      </c>
      <c r="E21" s="9">
        <v>23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>
        <f t="shared" si="4"/>
        <v>23</v>
      </c>
    </row>
    <row r="22" spans="2:25" ht="15" customHeight="1" x14ac:dyDescent="0.3">
      <c r="B22" s="31" t="s">
        <v>186</v>
      </c>
      <c r="C22" s="57"/>
      <c r="D22" s="33" t="s">
        <v>146</v>
      </c>
      <c r="E22" s="9">
        <v>13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>
        <f t="shared" si="4"/>
        <v>13</v>
      </c>
    </row>
    <row r="23" spans="2:25" ht="15" customHeight="1" x14ac:dyDescent="0.3">
      <c r="B23" s="31" t="s">
        <v>186</v>
      </c>
      <c r="C23" s="57"/>
      <c r="D23" s="33" t="s">
        <v>147</v>
      </c>
      <c r="E23" s="9">
        <v>17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>
        <f t="shared" si="4"/>
        <v>17</v>
      </c>
    </row>
    <row r="24" spans="2:25" ht="15" customHeight="1" x14ac:dyDescent="0.3">
      <c r="B24" s="31" t="s">
        <v>186</v>
      </c>
      <c r="C24" s="57"/>
      <c r="D24" s="33" t="s">
        <v>148</v>
      </c>
      <c r="E24" s="9">
        <v>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>
        <f t="shared" si="4"/>
        <v>0</v>
      </c>
    </row>
    <row r="25" spans="2:25" ht="15" customHeight="1" x14ac:dyDescent="0.3">
      <c r="B25" s="31" t="s">
        <v>186</v>
      </c>
      <c r="C25" s="57"/>
      <c r="D25" s="33" t="s">
        <v>149</v>
      </c>
      <c r="E25" s="9">
        <v>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>
        <f t="shared" si="4"/>
        <v>0</v>
      </c>
    </row>
    <row r="26" spans="2:25" ht="15" customHeight="1" x14ac:dyDescent="0.3">
      <c r="B26" s="31" t="s">
        <v>186</v>
      </c>
      <c r="C26" s="57"/>
      <c r="D26" s="33" t="s">
        <v>150</v>
      </c>
      <c r="E26" s="9">
        <v>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>
        <f t="shared" si="4"/>
        <v>0</v>
      </c>
    </row>
    <row r="27" spans="2:25" ht="15" customHeight="1" x14ac:dyDescent="0.3">
      <c r="B27" s="31" t="s">
        <v>186</v>
      </c>
      <c r="C27" s="57"/>
      <c r="D27" s="33" t="s">
        <v>151</v>
      </c>
      <c r="E27" s="9">
        <v>0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f t="shared" si="4"/>
        <v>0</v>
      </c>
    </row>
    <row r="28" spans="2:25" ht="15" customHeight="1" x14ac:dyDescent="0.3">
      <c r="B28" s="31" t="s">
        <v>186</v>
      </c>
      <c r="C28" s="57"/>
      <c r="D28" s="33" t="s">
        <v>35</v>
      </c>
      <c r="E28" s="9">
        <v>1200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>
        <f t="shared" si="4"/>
        <v>1200</v>
      </c>
    </row>
    <row r="29" spans="2:25" ht="15" customHeight="1" x14ac:dyDescent="0.3">
      <c r="B29" s="31" t="s">
        <v>186</v>
      </c>
      <c r="C29" s="57"/>
      <c r="D29" s="33" t="s">
        <v>36</v>
      </c>
      <c r="E29" s="9">
        <v>23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>
        <f>AVERAGE(E29:X29)</f>
        <v>23</v>
      </c>
    </row>
    <row r="30" spans="2:25" ht="15" customHeight="1" x14ac:dyDescent="0.3">
      <c r="B30" s="3"/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2:25" ht="15" customHeight="1" x14ac:dyDescent="0.3">
      <c r="B31" s="31" t="s">
        <v>186</v>
      </c>
      <c r="C31" s="57" t="s">
        <v>76</v>
      </c>
      <c r="D31" s="33" t="s">
        <v>37</v>
      </c>
      <c r="E31" s="12">
        <v>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9"/>
    </row>
    <row r="32" spans="2:25" ht="15" customHeight="1" x14ac:dyDescent="0.3">
      <c r="B32" s="31" t="s">
        <v>186</v>
      </c>
      <c r="C32" s="57"/>
      <c r="D32" s="33" t="s">
        <v>38</v>
      </c>
      <c r="E32" s="12">
        <v>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9"/>
    </row>
    <row r="33" spans="2:25" ht="15" customHeight="1" x14ac:dyDescent="0.3">
      <c r="B33" s="31" t="s">
        <v>186</v>
      </c>
      <c r="C33" s="57"/>
      <c r="D33" s="33" t="s">
        <v>39</v>
      </c>
      <c r="E33" s="12">
        <v>0.4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9"/>
    </row>
    <row r="34" spans="2:25" ht="15" customHeight="1" x14ac:dyDescent="0.3">
      <c r="B34" s="3"/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ht="15" customHeight="1" x14ac:dyDescent="0.3">
      <c r="B35" s="31" t="s">
        <v>186</v>
      </c>
      <c r="C35" s="57" t="s">
        <v>190</v>
      </c>
      <c r="D35" s="33" t="s">
        <v>40</v>
      </c>
      <c r="E35" s="9">
        <v>0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>
        <f>SUM(E35:X35)</f>
        <v>0</v>
      </c>
    </row>
    <row r="36" spans="2:25" ht="15" customHeight="1" x14ac:dyDescent="0.3">
      <c r="B36" s="31" t="s">
        <v>186</v>
      </c>
      <c r="C36" s="57"/>
      <c r="D36" s="33" t="s">
        <v>41</v>
      </c>
      <c r="E36" s="9">
        <v>0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>
        <f t="shared" ref="Y36:Y38" si="5">SUM(E36:X36)</f>
        <v>0</v>
      </c>
    </row>
    <row r="37" spans="2:25" ht="15" customHeight="1" x14ac:dyDescent="0.3">
      <c r="B37" s="31" t="s">
        <v>186</v>
      </c>
      <c r="C37" s="57"/>
      <c r="D37" s="33" t="s">
        <v>42</v>
      </c>
      <c r="E37" s="9">
        <v>0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>
        <f t="shared" si="5"/>
        <v>0</v>
      </c>
    </row>
    <row r="38" spans="2:25" ht="15" customHeight="1" x14ac:dyDescent="0.3">
      <c r="B38" s="31" t="s">
        <v>186</v>
      </c>
      <c r="C38" s="57"/>
      <c r="D38" s="33" t="s">
        <v>43</v>
      </c>
      <c r="E38" s="9">
        <v>0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>
        <f t="shared" si="5"/>
        <v>0</v>
      </c>
    </row>
    <row r="39" spans="2:25" ht="15" customHeight="1" x14ac:dyDescent="0.3">
      <c r="B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5" ht="15" customHeight="1" x14ac:dyDescent="0.3">
      <c r="B40" s="31" t="s">
        <v>186</v>
      </c>
      <c r="C40" s="9" t="s">
        <v>135</v>
      </c>
      <c r="D40" s="7" t="s">
        <v>44</v>
      </c>
      <c r="E40" s="9">
        <v>19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3">
        <f>SUM(E40:X40)</f>
        <v>19</v>
      </c>
    </row>
    <row r="41" spans="2:25" ht="15" customHeight="1" outlineLevel="1" x14ac:dyDescent="0.3">
      <c r="B41" s="34" t="s">
        <v>186</v>
      </c>
      <c r="C41" s="13"/>
      <c r="D41" s="14" t="s">
        <v>45</v>
      </c>
      <c r="E41" s="15">
        <f>IF($C$40="Inactif",0,IF(E13="Rocta",E40*0.06%+E40*0.06%*$M$4,IF(E13="Humains",E40*0.06%+E40*0.06%*$M$2+E40*0.06%*E35*0.5%,IF(E13="Méca",E40*0.06%+E40*0.06%*$M$3+E40*0.06%*E36*0.3%+E40*0.06%*E37*0.4%,E40*0.06%+E40*0.06%*$M$5+E40*0.06%*E38*0.25%))))</f>
        <v>1.2539999999999999E-2</v>
      </c>
      <c r="F41" s="15">
        <f t="shared" ref="F41:U41" si="6">IF($C$40="Inactif",0,IF(F13="Rocta",F40*0.06%+F40*0.06%*$M$4,IF(F13="Humains",F40*0.06%+F40*0.06%*$M$2+F40*0.06%*F35*0.5%,IF(F13="Méca",F40*0.06%+F40*0.06%*$M$3+F40*0.06%*F36*0.3%+F40*0.06%*F37*0.4%,F40*0.06%+F40*0.06%*$M$5+F40*0.06%*F38*0.25%))))</f>
        <v>0</v>
      </c>
      <c r="G41" s="15">
        <f t="shared" si="6"/>
        <v>0</v>
      </c>
      <c r="H41" s="15">
        <f t="shared" si="6"/>
        <v>0</v>
      </c>
      <c r="I41" s="15">
        <f t="shared" si="6"/>
        <v>0</v>
      </c>
      <c r="J41" s="15">
        <f t="shared" si="6"/>
        <v>0</v>
      </c>
      <c r="K41" s="15">
        <f t="shared" si="6"/>
        <v>0</v>
      </c>
      <c r="L41" s="15">
        <f t="shared" si="6"/>
        <v>0</v>
      </c>
      <c r="M41" s="15">
        <f t="shared" si="6"/>
        <v>0</v>
      </c>
      <c r="N41" s="15">
        <f t="shared" si="6"/>
        <v>0</v>
      </c>
      <c r="O41" s="15">
        <f t="shared" si="6"/>
        <v>0</v>
      </c>
      <c r="P41" s="15">
        <f t="shared" si="6"/>
        <v>0</v>
      </c>
      <c r="Q41" s="15">
        <f t="shared" si="6"/>
        <v>0</v>
      </c>
      <c r="R41" s="15">
        <f t="shared" si="6"/>
        <v>0</v>
      </c>
      <c r="S41" s="15">
        <f t="shared" si="6"/>
        <v>0</v>
      </c>
      <c r="T41" s="15">
        <f t="shared" si="6"/>
        <v>0</v>
      </c>
      <c r="U41" s="15">
        <f t="shared" si="6"/>
        <v>0</v>
      </c>
      <c r="V41" s="15">
        <f t="shared" ref="V41:X41" si="7">IF($C$40="Inactif",0,IF(V13="Rocta",V40*0.06%+V40*0.06%*$M$4,IF(V13="Humains",V40*0.06%+V40*0.06%*$M$2+V40*0.06%*V35*0.5%,IF(V13="Méca",V40*0.06%+V40*0.06%*$M$3+V40*0.06%*V36*0.3%+V40*0.06%*V37*0.4%,V40*0.06%+V40*0.06%*$M$5+V40*0.06%*V38*0.25%))))</f>
        <v>0</v>
      </c>
      <c r="W41" s="15">
        <f t="shared" si="7"/>
        <v>0</v>
      </c>
      <c r="X41" s="15">
        <f t="shared" si="7"/>
        <v>0</v>
      </c>
      <c r="Y41" s="15">
        <f>SUM(E41:X41)</f>
        <v>1.2539999999999999E-2</v>
      </c>
    </row>
    <row r="42" spans="2:25" ht="15" customHeight="1" x14ac:dyDescent="0.3">
      <c r="B42" s="31" t="s">
        <v>186</v>
      </c>
      <c r="C42" s="9" t="s">
        <v>135</v>
      </c>
      <c r="D42" s="7" t="s">
        <v>46</v>
      </c>
      <c r="E42" s="9">
        <v>16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3">
        <f>SUM(E42:X42)</f>
        <v>16</v>
      </c>
    </row>
    <row r="43" spans="2:25" ht="15" customHeight="1" outlineLevel="1" x14ac:dyDescent="0.3">
      <c r="B43" s="34" t="s">
        <v>186</v>
      </c>
      <c r="C43" s="13"/>
      <c r="D43" s="14" t="s">
        <v>45</v>
      </c>
      <c r="E43" s="15">
        <f>IF($C$42="Inactif",0,IF(E13="Rocta",E42*0.06%+E42*0.06%*$M$4,IF(E13="Humains",E42*0.06%+E42*0.06%*$M$2+E42*0.06%*E35*0.5%,IF(E13="Méca",E42*0.06%+E42*0.06%*$M$3+E42*0.06%*E36*0.3%+E42*0.06%*E37*0.4%,E42*0.06%+E42*0.06%*$M$5+E42*0.06%*E38*0.25%))))</f>
        <v>1.056E-2</v>
      </c>
      <c r="F43" s="15">
        <f t="shared" ref="F43:U43" si="8">IF($C$42="Inactif",0,IF(F13="Rocta",F42*0.06%+F42*0.06%*$M$4,IF(F13="Humains",F42*0.06%+F42*0.06%*$M$2+F42*0.06%*F35*0.5%,IF(F13="Méca",F42*0.06%+F42*0.06%*$M$3+F42*0.06%*F36*0.3%+F42*0.06%*F37*0.4%,F42*0.06%+F42*0.06%*$M$5+F42*0.06%*F38*0.25%))))</f>
        <v>0</v>
      </c>
      <c r="G43" s="15">
        <f t="shared" si="8"/>
        <v>0</v>
      </c>
      <c r="H43" s="15">
        <f t="shared" si="8"/>
        <v>0</v>
      </c>
      <c r="I43" s="15">
        <f t="shared" si="8"/>
        <v>0</v>
      </c>
      <c r="J43" s="15">
        <f t="shared" si="8"/>
        <v>0</v>
      </c>
      <c r="K43" s="15">
        <f t="shared" si="8"/>
        <v>0</v>
      </c>
      <c r="L43" s="15">
        <f t="shared" si="8"/>
        <v>0</v>
      </c>
      <c r="M43" s="15">
        <f t="shared" si="8"/>
        <v>0</v>
      </c>
      <c r="N43" s="15">
        <f t="shared" si="8"/>
        <v>0</v>
      </c>
      <c r="O43" s="15">
        <f t="shared" si="8"/>
        <v>0</v>
      </c>
      <c r="P43" s="15">
        <f t="shared" si="8"/>
        <v>0</v>
      </c>
      <c r="Q43" s="15">
        <f t="shared" si="8"/>
        <v>0</v>
      </c>
      <c r="R43" s="15">
        <f t="shared" si="8"/>
        <v>0</v>
      </c>
      <c r="S43" s="15">
        <f t="shared" si="8"/>
        <v>0</v>
      </c>
      <c r="T43" s="15">
        <f t="shared" si="8"/>
        <v>0</v>
      </c>
      <c r="U43" s="15">
        <f t="shared" si="8"/>
        <v>0</v>
      </c>
      <c r="V43" s="15">
        <f t="shared" ref="V43:X43" si="9">IF($C$42="Inactif",0,IF(V13="Rocta",V42*0.06%+V42*0.06%*$M$4,IF(V13="Humains",V42*0.06%+V42*0.06%*$M$2+V42*0.06%*V35*0.5%,IF(V13="Méca",V42*0.06%+V42*0.06%*$M$3+V42*0.06%*V36*0.3%+V42*0.06%*V37*0.4%,V42*0.06%+V42*0.06%*$M$5+V42*0.06%*V38*0.25%))))</f>
        <v>0</v>
      </c>
      <c r="W43" s="15">
        <f t="shared" si="9"/>
        <v>0</v>
      </c>
      <c r="X43" s="15">
        <f t="shared" si="9"/>
        <v>0</v>
      </c>
      <c r="Y43" s="15">
        <f>SUM(E43:X43)</f>
        <v>1.056E-2</v>
      </c>
    </row>
    <row r="44" spans="2:25" ht="15" customHeight="1" x14ac:dyDescent="0.3">
      <c r="B44" s="31" t="s">
        <v>186</v>
      </c>
      <c r="C44" s="9" t="s">
        <v>135</v>
      </c>
      <c r="D44" s="7" t="s">
        <v>47</v>
      </c>
      <c r="E44" s="9">
        <v>20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3">
        <f t="shared" ref="Y44:Y66" si="10">SUM(E44:X44)</f>
        <v>20</v>
      </c>
    </row>
    <row r="45" spans="2:25" ht="15" customHeight="1" outlineLevel="1" x14ac:dyDescent="0.3">
      <c r="B45" s="34" t="s">
        <v>186</v>
      </c>
      <c r="C45" s="13"/>
      <c r="D45" s="14" t="s">
        <v>48</v>
      </c>
      <c r="E45" s="15">
        <f>IF($C$44="Inactif",0,IF(E13="Rocta",E44*0.08%+E44*0.08%*$M$4,IF(E13="Humains",E44*0.08%+E44*0.08%*$M$2+E44*0.08%*E35*0.5%,IF(E13="Méca",E44*0.08%+E44*0.08%*$M$3+E44*0.08%*E36*0.3%+E44*0.08%*E37*0.4%,E44*0.08%+E44*0.08%*$M$5+E44*0.08%*E38*0.25%))))</f>
        <v>1.7600000000000001E-2</v>
      </c>
      <c r="F45" s="15">
        <f t="shared" ref="F45:U45" si="11">IF($C$44="Inactif",0,IF(F13="Rocta",F44*0.08%+F44*0.08%*$M$4,IF(F13="Humains",F44*0.08%+F44*0.08%*$M$2+F44*0.08%*F35*0.5%,IF(F13="Méca",F44*0.08%+F44*0.08%*$M$3+F44*0.08%*F36*0.3%+F44*0.08%*F37*0.4%,F44*0.08%+F44*0.08%*$M$5+F44*0.08%*F38*0.25%))))</f>
        <v>0</v>
      </c>
      <c r="G45" s="15">
        <f t="shared" si="11"/>
        <v>0</v>
      </c>
      <c r="H45" s="15">
        <f t="shared" si="11"/>
        <v>0</v>
      </c>
      <c r="I45" s="15">
        <f t="shared" si="11"/>
        <v>0</v>
      </c>
      <c r="J45" s="15">
        <f t="shared" si="11"/>
        <v>0</v>
      </c>
      <c r="K45" s="15">
        <f t="shared" si="11"/>
        <v>0</v>
      </c>
      <c r="L45" s="15">
        <f t="shared" si="11"/>
        <v>0</v>
      </c>
      <c r="M45" s="15">
        <f t="shared" si="11"/>
        <v>0</v>
      </c>
      <c r="N45" s="15">
        <f t="shared" si="11"/>
        <v>0</v>
      </c>
      <c r="O45" s="15">
        <f t="shared" si="11"/>
        <v>0</v>
      </c>
      <c r="P45" s="15">
        <f t="shared" si="11"/>
        <v>0</v>
      </c>
      <c r="Q45" s="15">
        <f t="shared" si="11"/>
        <v>0</v>
      </c>
      <c r="R45" s="15">
        <f t="shared" si="11"/>
        <v>0</v>
      </c>
      <c r="S45" s="15">
        <f t="shared" si="11"/>
        <v>0</v>
      </c>
      <c r="T45" s="15">
        <f t="shared" si="11"/>
        <v>0</v>
      </c>
      <c r="U45" s="15">
        <f t="shared" si="11"/>
        <v>0</v>
      </c>
      <c r="V45" s="15">
        <f t="shared" ref="V45:X45" si="12">IF($C$44="Inactif",0,IF(V13="Rocta",V44*0.08%+V44*0.08%*$M$4,IF(V13="Humains",V44*0.08%+V44*0.08%*$M$2+V44*0.08%*V35*0.5%,IF(V13="Méca",V44*0.08%+V44*0.08%*$M$3+V44*0.08%*V36*0.3%+V44*0.08%*V37*0.4%,V44*0.08%+V44*0.08%*$M$5+V44*0.08%*V38*0.25%))))</f>
        <v>0</v>
      </c>
      <c r="W45" s="15">
        <f t="shared" si="12"/>
        <v>0</v>
      </c>
      <c r="X45" s="15">
        <f t="shared" si="12"/>
        <v>0</v>
      </c>
      <c r="Y45" s="15">
        <f>SUM(E45:X45)</f>
        <v>1.7600000000000001E-2</v>
      </c>
    </row>
    <row r="46" spans="2:25" ht="15" customHeight="1" x14ac:dyDescent="0.3">
      <c r="B46" s="31" t="s">
        <v>186</v>
      </c>
      <c r="C46" s="9" t="s">
        <v>135</v>
      </c>
      <c r="D46" s="7" t="s">
        <v>49</v>
      </c>
      <c r="E46" s="9">
        <v>16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3">
        <f t="shared" si="10"/>
        <v>16</v>
      </c>
    </row>
    <row r="47" spans="2:25" ht="15" customHeight="1" outlineLevel="1" x14ac:dyDescent="0.3">
      <c r="B47" s="34" t="s">
        <v>186</v>
      </c>
      <c r="C47" s="13"/>
      <c r="D47" s="14" t="s">
        <v>45</v>
      </c>
      <c r="E47" s="15">
        <f>IF($C$46="Inactif",0,IF(E13="Rocta",E46*0.06%+E46*0.06%*$M$4,IF(E13="Humains",E46*0.06%+E46*0.06%*$M$2+E46*0.06%*E35*0.5%,IF(E13="Méca",E46*0.06%+E46*0.06%*$M$3+E46*0.06%*E36*0.3%+E46*0.06%*E37*0.4%,E46*0.06%+E46*0.06%*$M$5+E46*0.06%*E38*0.25%))))</f>
        <v>1.056E-2</v>
      </c>
      <c r="F47" s="15">
        <f t="shared" ref="F47:U47" si="13">IF($C$46="Inactif",0,IF(F13="Rocta",F46*0.06%+F46*0.06%*$M$4,IF(F13="Humains",F46*0.06%+F46*0.06%*$M$2+F46*0.06%*F35*0.5%,IF(F13="Méca",F46*0.06%+F46*0.06%*$M$3+F46*0.06%*F36*0.3%+F46*0.06%*F37*0.4%,F46*0.06%+F46*0.06%*$M$5+F46*0.06%*F38*0.25%))))</f>
        <v>0</v>
      </c>
      <c r="G47" s="15">
        <f t="shared" si="13"/>
        <v>0</v>
      </c>
      <c r="H47" s="15">
        <f t="shared" si="13"/>
        <v>0</v>
      </c>
      <c r="I47" s="15">
        <f t="shared" si="13"/>
        <v>0</v>
      </c>
      <c r="J47" s="15">
        <f t="shared" si="13"/>
        <v>0</v>
      </c>
      <c r="K47" s="15">
        <f t="shared" si="13"/>
        <v>0</v>
      </c>
      <c r="L47" s="15">
        <f t="shared" si="13"/>
        <v>0</v>
      </c>
      <c r="M47" s="15">
        <f t="shared" si="13"/>
        <v>0</v>
      </c>
      <c r="N47" s="15">
        <f t="shared" si="13"/>
        <v>0</v>
      </c>
      <c r="O47" s="15">
        <f t="shared" si="13"/>
        <v>0</v>
      </c>
      <c r="P47" s="15">
        <f t="shared" si="13"/>
        <v>0</v>
      </c>
      <c r="Q47" s="15">
        <f t="shared" si="13"/>
        <v>0</v>
      </c>
      <c r="R47" s="15">
        <f t="shared" si="13"/>
        <v>0</v>
      </c>
      <c r="S47" s="15">
        <f t="shared" si="13"/>
        <v>0</v>
      </c>
      <c r="T47" s="15">
        <f t="shared" si="13"/>
        <v>0</v>
      </c>
      <c r="U47" s="15">
        <f t="shared" si="13"/>
        <v>0</v>
      </c>
      <c r="V47" s="15">
        <f t="shared" ref="V47:X47" si="14">IF($C$46="Inactif",0,IF(V13="Rocta",V46*0.06%+V46*0.06%*$M$4,IF(V13="Humains",V46*0.06%+V46*0.06%*$M$2+V46*0.06%*V35*0.5%,IF(V13="Méca",V46*0.06%+V46*0.06%*$M$3+V46*0.06%*V36*0.3%+V46*0.06%*V37*0.4%,V46*0.06%+V46*0.06%*$M$5+V46*0.06%*V38*0.25%))))</f>
        <v>0</v>
      </c>
      <c r="W47" s="15">
        <f t="shared" si="14"/>
        <v>0</v>
      </c>
      <c r="X47" s="15">
        <f t="shared" si="14"/>
        <v>0</v>
      </c>
      <c r="Y47" s="15">
        <f>SUM(E47:X47)</f>
        <v>1.056E-2</v>
      </c>
    </row>
    <row r="48" spans="2:25" ht="15" customHeight="1" x14ac:dyDescent="0.3">
      <c r="B48" s="31" t="s">
        <v>186</v>
      </c>
      <c r="C48" s="9" t="s">
        <v>135</v>
      </c>
      <c r="D48" s="7" t="s">
        <v>50</v>
      </c>
      <c r="E48" s="9">
        <v>13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3">
        <f t="shared" si="10"/>
        <v>13</v>
      </c>
    </row>
    <row r="49" spans="2:25" ht="15" customHeight="1" outlineLevel="1" x14ac:dyDescent="0.3">
      <c r="B49" s="34" t="s">
        <v>186</v>
      </c>
      <c r="C49" s="13"/>
      <c r="D49" s="14" t="s">
        <v>45</v>
      </c>
      <c r="E49" s="15">
        <f>IF($C$48="Inactif",0,IF(E13="Rocta",E48*0.06%+E48*0.06%*$M$4,IF(E13="Humains",E48*0.06%+E48*0.06%*$M$2+E48*0.06%*E35*0.5%,IF(E13="Méca",E48*0.06%+E48*0.06%*$M$3+E48*0.06%*E36*0.3%+E48*0.06%*E37*0.4%,E48*0.06%+E48*0.06%*$M$5+E48*0.06%*E38*0.25%))))</f>
        <v>8.5799999999999991E-3</v>
      </c>
      <c r="F49" s="15">
        <f t="shared" ref="F49:U49" si="15">IF($C$48="Inactif",0,IF(F13="Rocta",F48*0.06%+F48*0.06%*$M$4,IF(F13="Humains",F48*0.06%+F48*0.06%*$M$2+F48*0.06%*F35*0.5%,IF(F13="Méca",F48*0.06%+F48*0.06%*$M$3+F48*0.06%*F36*0.3%+F48*0.06%*F37*0.4%,F48*0.06%+F48*0.06%*$M$5+F48*0.06%*F38*0.25%))))</f>
        <v>0</v>
      </c>
      <c r="G49" s="15">
        <f t="shared" si="15"/>
        <v>0</v>
      </c>
      <c r="H49" s="15">
        <f t="shared" si="15"/>
        <v>0</v>
      </c>
      <c r="I49" s="15">
        <f t="shared" si="15"/>
        <v>0</v>
      </c>
      <c r="J49" s="15">
        <f t="shared" si="15"/>
        <v>0</v>
      </c>
      <c r="K49" s="15">
        <f t="shared" si="15"/>
        <v>0</v>
      </c>
      <c r="L49" s="15">
        <f t="shared" si="15"/>
        <v>0</v>
      </c>
      <c r="M49" s="15">
        <f t="shared" si="15"/>
        <v>0</v>
      </c>
      <c r="N49" s="15">
        <f t="shared" si="15"/>
        <v>0</v>
      </c>
      <c r="O49" s="15">
        <f t="shared" si="15"/>
        <v>0</v>
      </c>
      <c r="P49" s="15">
        <f t="shared" si="15"/>
        <v>0</v>
      </c>
      <c r="Q49" s="15">
        <f t="shared" si="15"/>
        <v>0</v>
      </c>
      <c r="R49" s="15">
        <f t="shared" si="15"/>
        <v>0</v>
      </c>
      <c r="S49" s="15">
        <f t="shared" si="15"/>
        <v>0</v>
      </c>
      <c r="T49" s="15">
        <f t="shared" si="15"/>
        <v>0</v>
      </c>
      <c r="U49" s="15">
        <f t="shared" si="15"/>
        <v>0</v>
      </c>
      <c r="V49" s="15">
        <f t="shared" ref="V49:X49" si="16">IF($C$48="Inactif",0,IF(V13="Rocta",V48*0.06%+V48*0.06%*$M$4,IF(V13="Humains",V48*0.06%+V48*0.06%*$M$2+V48*0.06%*V35*0.5%,IF(V13="Méca",V48*0.06%+V48*0.06%*$M$3+V48*0.06%*V36*0.3%+V48*0.06%*V37*0.4%,V48*0.06%+V48*0.06%*$M$5+V48*0.06%*V38*0.25%))))</f>
        <v>0</v>
      </c>
      <c r="W49" s="15">
        <f t="shared" si="16"/>
        <v>0</v>
      </c>
      <c r="X49" s="15">
        <f t="shared" si="16"/>
        <v>0</v>
      </c>
      <c r="Y49" s="15">
        <f>SUM(E49:X49)</f>
        <v>8.5799999999999991E-3</v>
      </c>
    </row>
    <row r="50" spans="2:25" ht="15" customHeight="1" x14ac:dyDescent="0.3">
      <c r="B50" s="31" t="s">
        <v>186</v>
      </c>
      <c r="C50" s="9" t="s">
        <v>136</v>
      </c>
      <c r="D50" s="7" t="s">
        <v>51</v>
      </c>
      <c r="E50" s="9">
        <v>14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3">
        <f t="shared" si="10"/>
        <v>14</v>
      </c>
    </row>
    <row r="51" spans="2:25" ht="15" customHeight="1" outlineLevel="1" x14ac:dyDescent="0.3">
      <c r="B51" s="34" t="s">
        <v>186</v>
      </c>
      <c r="C51" s="13"/>
      <c r="D51" s="14" t="s">
        <v>137</v>
      </c>
      <c r="E51" s="15">
        <f>IF($C$50="Inactif",0,IF(E13="Rocta",E50*0.08%+E50*0.08%*$M$4,IF(E13="Humains",E50*0.08%+E50*0.08%*$M$2+E50*0.08%*E35*0.5%,IF(E13="Méca",E50*0.08%+E50*0.08%*$M$3+E50*0.08%*E36*0.3%+E50*0.08%*E37*0.4%,E50*0.08%+E50*0.08%*$M$5+E50*0.08%*E38*0.25%))))</f>
        <v>0</v>
      </c>
      <c r="F51" s="15">
        <f t="shared" ref="F51:U51" si="17">IF($C$50="Inactif",0,IF(F13="Rocta",F50*0.08%+F50*0.08%*$M$4,IF(F13="Humains",F50*0.08%+F50*0.08%*$M$2+F50*0.08%*F35*0.5%,IF(F13="Méca",F50*0.08%+F50*0.08%*$M$3+F50*0.08%*F36*0.3%+F50*0.08%*F37*0.4%,F50*0.08%+F50*0.08%*$M$5+F50*0.08%*F38*0.25%))))</f>
        <v>0</v>
      </c>
      <c r="G51" s="15">
        <f t="shared" si="17"/>
        <v>0</v>
      </c>
      <c r="H51" s="15">
        <f t="shared" si="17"/>
        <v>0</v>
      </c>
      <c r="I51" s="15">
        <f t="shared" si="17"/>
        <v>0</v>
      </c>
      <c r="J51" s="15">
        <f t="shared" si="17"/>
        <v>0</v>
      </c>
      <c r="K51" s="15">
        <f t="shared" si="17"/>
        <v>0</v>
      </c>
      <c r="L51" s="15">
        <f t="shared" si="17"/>
        <v>0</v>
      </c>
      <c r="M51" s="15">
        <f t="shared" si="17"/>
        <v>0</v>
      </c>
      <c r="N51" s="15">
        <f t="shared" si="17"/>
        <v>0</v>
      </c>
      <c r="O51" s="15">
        <f t="shared" si="17"/>
        <v>0</v>
      </c>
      <c r="P51" s="15">
        <f t="shared" si="17"/>
        <v>0</v>
      </c>
      <c r="Q51" s="15">
        <f t="shared" si="17"/>
        <v>0</v>
      </c>
      <c r="R51" s="15">
        <f t="shared" si="17"/>
        <v>0</v>
      </c>
      <c r="S51" s="15">
        <f t="shared" si="17"/>
        <v>0</v>
      </c>
      <c r="T51" s="15">
        <f t="shared" si="17"/>
        <v>0</v>
      </c>
      <c r="U51" s="15">
        <f t="shared" si="17"/>
        <v>0</v>
      </c>
      <c r="V51" s="15">
        <f t="shared" ref="V51:X51" si="18">IF($C$50="Inactif",0,IF(V13="Rocta",V50*0.08%+V50*0.08%*$M$4,IF(V13="Humains",V50*0.08%+V50*0.08%*$M$2+V50*0.08%*V35*0.5%,IF(V13="Méca",V50*0.08%+V50*0.08%*$M$3+V50*0.08%*V36*0.3%+V50*0.08%*V37*0.4%,V50*0.08%+V50*0.08%*$M$5+V50*0.08%*V38*0.25%))))</f>
        <v>0</v>
      </c>
      <c r="W51" s="15">
        <f t="shared" si="18"/>
        <v>0</v>
      </c>
      <c r="X51" s="15">
        <f t="shared" si="18"/>
        <v>0</v>
      </c>
      <c r="Y51" s="15">
        <f>SUM(E51:X51)</f>
        <v>0</v>
      </c>
    </row>
    <row r="52" spans="2:25" ht="15" customHeight="1" x14ac:dyDescent="0.3">
      <c r="B52" s="31" t="s">
        <v>186</v>
      </c>
      <c r="C52" s="9" t="s">
        <v>135</v>
      </c>
      <c r="D52" s="7" t="s">
        <v>52</v>
      </c>
      <c r="E52" s="9">
        <v>19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3">
        <f t="shared" si="10"/>
        <v>19</v>
      </c>
    </row>
    <row r="53" spans="2:25" ht="15" customHeight="1" outlineLevel="1" x14ac:dyDescent="0.3">
      <c r="B53" s="34" t="s">
        <v>186</v>
      </c>
      <c r="C53" s="13"/>
      <c r="D53" s="14" t="s">
        <v>48</v>
      </c>
      <c r="E53" s="15">
        <f>IF($C$52="Inactif",0,IF(E13="Rocta",E52*0.08%+E52*0.08%*$M$4,IF(E13="Humains",E52*0.08%+E52*0.08%*$M$2+E52*0.08%*E35*0.5%,IF(E13="Méca",E52*0.08%+E52*0.08%*$M$3+E52*0.08%*E36*0.3%+E52*0.08%*E37*0.4%,E52*0.08%+E52*0.08%*$M$5+E52*0.08%*E38*0.25%))))</f>
        <v>1.6719999999999999E-2</v>
      </c>
      <c r="F53" s="15">
        <f t="shared" ref="F53:U53" si="19">IF($C$52="Inactif",0,IF(F13="Rocta",F52*0.08%+F52*0.08%*$M$4,IF(F13="Humains",F52*0.08%+F52*0.08%*$M$2+F52*0.08%*F35*0.5%,IF(F13="Méca",F52*0.08%+F52*0.08%*$M$3+F52*0.08%*F36*0.3%+F52*0.08%*F37*0.4%,F52*0.08%+F52*0.08%*$M$5+F52*0.08%*F38*0.25%))))</f>
        <v>0</v>
      </c>
      <c r="G53" s="15">
        <f t="shared" si="19"/>
        <v>0</v>
      </c>
      <c r="H53" s="15">
        <f t="shared" si="19"/>
        <v>0</v>
      </c>
      <c r="I53" s="15">
        <f t="shared" si="19"/>
        <v>0</v>
      </c>
      <c r="J53" s="15">
        <f t="shared" si="19"/>
        <v>0</v>
      </c>
      <c r="K53" s="15">
        <f t="shared" si="19"/>
        <v>0</v>
      </c>
      <c r="L53" s="15">
        <f t="shared" si="19"/>
        <v>0</v>
      </c>
      <c r="M53" s="15">
        <f t="shared" si="19"/>
        <v>0</v>
      </c>
      <c r="N53" s="15">
        <f t="shared" si="19"/>
        <v>0</v>
      </c>
      <c r="O53" s="15">
        <f t="shared" si="19"/>
        <v>0</v>
      </c>
      <c r="P53" s="15">
        <f t="shared" si="19"/>
        <v>0</v>
      </c>
      <c r="Q53" s="15">
        <f t="shared" si="19"/>
        <v>0</v>
      </c>
      <c r="R53" s="15">
        <f t="shared" si="19"/>
        <v>0</v>
      </c>
      <c r="S53" s="15">
        <f t="shared" si="19"/>
        <v>0</v>
      </c>
      <c r="T53" s="15">
        <f t="shared" si="19"/>
        <v>0</v>
      </c>
      <c r="U53" s="15">
        <f t="shared" si="19"/>
        <v>0</v>
      </c>
      <c r="V53" s="15">
        <f t="shared" ref="V53:X53" si="20">IF($C$52="Inactif",0,IF(V13="Rocta",V52*0.08%+V52*0.08%*$M$4,IF(V13="Humains",V52*0.08%+V52*0.08%*$M$2+V52*0.08%*V35*0.5%,IF(V13="Méca",V52*0.08%+V52*0.08%*$M$3+V52*0.08%*V36*0.3%+V52*0.08%*V37*0.4%,V52*0.08%+V52*0.08%*$M$5+V52*0.08%*V38*0.25%))))</f>
        <v>0</v>
      </c>
      <c r="W53" s="15">
        <f t="shared" si="20"/>
        <v>0</v>
      </c>
      <c r="X53" s="15">
        <f t="shared" si="20"/>
        <v>0</v>
      </c>
      <c r="Y53" s="15">
        <f>SUM(E53:X53)</f>
        <v>1.6719999999999999E-2</v>
      </c>
    </row>
    <row r="54" spans="2:25" ht="15" customHeight="1" x14ac:dyDescent="0.3">
      <c r="B54" s="31" t="s">
        <v>186</v>
      </c>
      <c r="C54" s="9" t="s">
        <v>136</v>
      </c>
      <c r="D54" s="7" t="s">
        <v>53</v>
      </c>
      <c r="E54" s="9">
        <v>12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3">
        <f t="shared" si="10"/>
        <v>12</v>
      </c>
    </row>
    <row r="55" spans="2:25" ht="15" customHeight="1" outlineLevel="1" x14ac:dyDescent="0.3">
      <c r="B55" s="34" t="s">
        <v>186</v>
      </c>
      <c r="C55" s="13"/>
      <c r="D55" s="14" t="s">
        <v>45</v>
      </c>
      <c r="E55" s="15">
        <f>IF($C$54="Inactif",0,IF(E13="Rocta",E54*0.06%+E54*0.06%*$M$4,IF(E13="Humains",E54*0.06%+E54*0.06%*$M$2+E54*0.06%*E35*0.5%,IF(E13="Méca",E54*0.06%+E54*0.06%*$M$3+E54*0.06%*E36*0.3%+E54*0.06%*E37*0.4%,E54*0.06%+E54*0.06%*$M$5+E54*0.06%*E38*0.25%))))</f>
        <v>0</v>
      </c>
      <c r="F55" s="15">
        <f t="shared" ref="F55:U55" si="21">IF($C$54="Inactif",0,IF(F13="Rocta",F54*0.06%+F54*0.06%*$M$4,IF(F13="Humains",F54*0.06%+F54*0.06%*$M$2+F54*0.06%*F35*0.5%,IF(F13="Méca",F54*0.06%+F54*0.06%*$M$3+F54*0.06%*F36*0.3%+F54*0.06%*F37*0.4%,F54*0.06%+F54*0.06%*$M$5+F54*0.06%*F38*0.25%))))</f>
        <v>0</v>
      </c>
      <c r="G55" s="15">
        <f t="shared" si="21"/>
        <v>0</v>
      </c>
      <c r="H55" s="15">
        <f t="shared" si="21"/>
        <v>0</v>
      </c>
      <c r="I55" s="15">
        <f t="shared" si="21"/>
        <v>0</v>
      </c>
      <c r="J55" s="15">
        <f t="shared" si="21"/>
        <v>0</v>
      </c>
      <c r="K55" s="15">
        <f t="shared" si="21"/>
        <v>0</v>
      </c>
      <c r="L55" s="15">
        <f t="shared" si="21"/>
        <v>0</v>
      </c>
      <c r="M55" s="15">
        <f t="shared" si="21"/>
        <v>0</v>
      </c>
      <c r="N55" s="15">
        <f t="shared" si="21"/>
        <v>0</v>
      </c>
      <c r="O55" s="15">
        <f t="shared" si="21"/>
        <v>0</v>
      </c>
      <c r="P55" s="15">
        <f t="shared" si="21"/>
        <v>0</v>
      </c>
      <c r="Q55" s="15">
        <f t="shared" si="21"/>
        <v>0</v>
      </c>
      <c r="R55" s="15">
        <f t="shared" si="21"/>
        <v>0</v>
      </c>
      <c r="S55" s="15">
        <f t="shared" si="21"/>
        <v>0</v>
      </c>
      <c r="T55" s="15">
        <f t="shared" si="21"/>
        <v>0</v>
      </c>
      <c r="U55" s="15">
        <f t="shared" si="21"/>
        <v>0</v>
      </c>
      <c r="V55" s="15">
        <f t="shared" ref="V55:X55" si="22">IF($C$54="Inactif",0,IF(V13="Rocta",V54*0.06%+V54*0.06%*$M$4,IF(V13="Humains",V54*0.06%+V54*0.06%*$M$2+V54*0.06%*V35*0.5%,IF(V13="Méca",V54*0.06%+V54*0.06%*$M$3+V54*0.06%*V36*0.3%+V54*0.06%*V37*0.4%,V54*0.06%+V54*0.06%*$M$5+V54*0.06%*V38*0.25%))))</f>
        <v>0</v>
      </c>
      <c r="W55" s="15">
        <f t="shared" si="22"/>
        <v>0</v>
      </c>
      <c r="X55" s="15">
        <f t="shared" si="22"/>
        <v>0</v>
      </c>
      <c r="Y55" s="15">
        <f>SUM(E55:X55)</f>
        <v>0</v>
      </c>
    </row>
    <row r="56" spans="2:25" ht="15" customHeight="1" x14ac:dyDescent="0.3">
      <c r="B56" s="31" t="s">
        <v>186</v>
      </c>
      <c r="C56" s="9" t="s">
        <v>135</v>
      </c>
      <c r="D56" s="7" t="s">
        <v>54</v>
      </c>
      <c r="E56" s="9">
        <v>16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3">
        <f t="shared" si="10"/>
        <v>16</v>
      </c>
    </row>
    <row r="57" spans="2:25" ht="15" customHeight="1" outlineLevel="1" x14ac:dyDescent="0.3">
      <c r="B57" s="34" t="s">
        <v>186</v>
      </c>
      <c r="C57" s="13"/>
      <c r="D57" s="14" t="s">
        <v>55</v>
      </c>
      <c r="E57" s="15">
        <f>IF($C$56="Inactif",0,IF(E13="Rocta",E56*0.08%+E56*0.08%*$M$4,IF(E13="Humains",E56*0.08%+E56*0.08%*$M$2+E56*0.08%*E35*0.5%,IF(E13="Méca",E56*0.08%+E56*0.08%*$M$3+E56*0.08%*E36*0.3%+E56*0.08%*E37*0.4%,E56*0.08%+E56*0.08%*$M$5+E56*0.08%*E38*0.25%))))</f>
        <v>1.4080000000000001E-2</v>
      </c>
      <c r="F57" s="15">
        <f t="shared" ref="F57:U57" si="23">IF($C$56="Inactif",0,IF(F13="Rocta",F56*0.08%+F56*0.08%*$M$4,IF(F13="Humains",F56*0.08%+F56*0.08%*$M$2+F56*0.08%*F35*0.5%,IF(F13="Méca",F56*0.08%+F56*0.08%*$M$3+F56*0.08%*F36*0.3%+F56*0.08%*F37*0.4%,F56*0.08%+F56*0.08%*$M$5+F56*0.08%*F38*0.25%))))</f>
        <v>0</v>
      </c>
      <c r="G57" s="15">
        <f t="shared" si="23"/>
        <v>0</v>
      </c>
      <c r="H57" s="15">
        <f t="shared" si="23"/>
        <v>0</v>
      </c>
      <c r="I57" s="15">
        <f t="shared" si="23"/>
        <v>0</v>
      </c>
      <c r="J57" s="15">
        <f t="shared" si="23"/>
        <v>0</v>
      </c>
      <c r="K57" s="15">
        <f t="shared" si="23"/>
        <v>0</v>
      </c>
      <c r="L57" s="15">
        <f t="shared" si="23"/>
        <v>0</v>
      </c>
      <c r="M57" s="15">
        <f t="shared" si="23"/>
        <v>0</v>
      </c>
      <c r="N57" s="15">
        <f t="shared" si="23"/>
        <v>0</v>
      </c>
      <c r="O57" s="15">
        <f t="shared" si="23"/>
        <v>0</v>
      </c>
      <c r="P57" s="15">
        <f t="shared" si="23"/>
        <v>0</v>
      </c>
      <c r="Q57" s="15">
        <f t="shared" si="23"/>
        <v>0</v>
      </c>
      <c r="R57" s="15">
        <f t="shared" si="23"/>
        <v>0</v>
      </c>
      <c r="S57" s="15">
        <f t="shared" si="23"/>
        <v>0</v>
      </c>
      <c r="T57" s="15">
        <f t="shared" si="23"/>
        <v>0</v>
      </c>
      <c r="U57" s="15">
        <f t="shared" si="23"/>
        <v>0</v>
      </c>
      <c r="V57" s="15">
        <f t="shared" ref="V57:X57" si="24">IF($C$56="Inactif",0,IF(V13="Rocta",V56*0.08%+V56*0.08%*$M$4,IF(V13="Humains",V56*0.08%+V56*0.08%*$M$2+V56*0.08%*V35*0.5%,IF(V13="Méca",V56*0.08%+V56*0.08%*$M$3+V56*0.08%*V36*0.3%+V56*0.08%*V37*0.4%,V56*0.08%+V56*0.08%*$M$5+V56*0.08%*V38*0.25%))))</f>
        <v>0</v>
      </c>
      <c r="W57" s="15">
        <f t="shared" si="24"/>
        <v>0</v>
      </c>
      <c r="X57" s="15">
        <f t="shared" si="24"/>
        <v>0</v>
      </c>
      <c r="Y57" s="15">
        <f>SUM(E57:X57)</f>
        <v>1.4080000000000001E-2</v>
      </c>
    </row>
    <row r="58" spans="2:25" ht="15" customHeight="1" x14ac:dyDescent="0.3">
      <c r="B58" s="31" t="s">
        <v>186</v>
      </c>
      <c r="C58" s="9" t="s">
        <v>135</v>
      </c>
      <c r="D58" s="7" t="s">
        <v>56</v>
      </c>
      <c r="E58" s="9">
        <v>15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3">
        <f>SUM(E58:X58)</f>
        <v>15</v>
      </c>
    </row>
    <row r="59" spans="2:25" ht="15" customHeight="1" outlineLevel="1" x14ac:dyDescent="0.3">
      <c r="B59" s="34" t="s">
        <v>186</v>
      </c>
      <c r="C59" s="13"/>
      <c r="D59" s="14" t="s">
        <v>55</v>
      </c>
      <c r="E59" s="15">
        <f>IF($C$58="Inactif",0,IF(E13="Rocta",E58*0.08%+E58*0.08%*$M$4,IF(E13="Humains",E58*0.08%+E58*0.08%*$M$2+E58*0.08%*E35*0.5%,IF(E13="Méca",E58*0.08%+E58*0.08%*$M$3+E58*0.08%*E36*0.3%+E58*0.08%*E37*0.4%,E58*0.08%+E58*0.08%*$M$5+E58*0.08%*E38*0.25%))))</f>
        <v>1.32E-2</v>
      </c>
      <c r="F59" s="15">
        <f t="shared" ref="F59:U59" si="25">IF($C$58="Inactif",0,IF(F13="Rocta",F58*0.08%+F58*0.08%*$M$4,IF(F13="Humains",F58*0.08%+F58*0.08%*$M$2+F58*0.08%*F35*0.5%,IF(F13="Méca",F58*0.08%+F58*0.08%*$M$3+F58*0.08%*F36*0.3%+F58*0.08%*F37*0.4%,F58*0.08%+F58*0.08%*$M$5+F58*0.08%*F38*0.25%))))</f>
        <v>0</v>
      </c>
      <c r="G59" s="15">
        <f t="shared" si="25"/>
        <v>0</v>
      </c>
      <c r="H59" s="15">
        <f t="shared" si="25"/>
        <v>0</v>
      </c>
      <c r="I59" s="15">
        <f t="shared" si="25"/>
        <v>0</v>
      </c>
      <c r="J59" s="15">
        <f t="shared" si="25"/>
        <v>0</v>
      </c>
      <c r="K59" s="15">
        <f t="shared" si="25"/>
        <v>0</v>
      </c>
      <c r="L59" s="15">
        <f t="shared" si="25"/>
        <v>0</v>
      </c>
      <c r="M59" s="15">
        <f t="shared" si="25"/>
        <v>0</v>
      </c>
      <c r="N59" s="15">
        <f t="shared" si="25"/>
        <v>0</v>
      </c>
      <c r="O59" s="15">
        <f t="shared" si="25"/>
        <v>0</v>
      </c>
      <c r="P59" s="15">
        <f t="shared" si="25"/>
        <v>0</v>
      </c>
      <c r="Q59" s="15">
        <f t="shared" si="25"/>
        <v>0</v>
      </c>
      <c r="R59" s="15">
        <f t="shared" si="25"/>
        <v>0</v>
      </c>
      <c r="S59" s="15">
        <f t="shared" si="25"/>
        <v>0</v>
      </c>
      <c r="T59" s="15">
        <f t="shared" si="25"/>
        <v>0</v>
      </c>
      <c r="U59" s="15">
        <f t="shared" si="25"/>
        <v>0</v>
      </c>
      <c r="V59" s="15">
        <f t="shared" ref="V59:X59" si="26">IF($C$58="Inactif",0,IF(V13="Rocta",V58*0.08%+V58*0.08%*$M$4,IF(V13="Humains",V58*0.08%+V58*0.08%*$M$2+V58*0.08%*V35*0.5%,IF(V13="Méca",V58*0.08%+V58*0.08%*$M$3+V58*0.08%*V36*0.3%+V58*0.08%*V37*0.4%,V58*0.08%+V58*0.08%*$M$5+V58*0.08%*V38*0.25%))))</f>
        <v>0</v>
      </c>
      <c r="W59" s="15">
        <f t="shared" si="26"/>
        <v>0</v>
      </c>
      <c r="X59" s="15">
        <f t="shared" si="26"/>
        <v>0</v>
      </c>
      <c r="Y59" s="15">
        <f>SUM(E59:X59)</f>
        <v>1.32E-2</v>
      </c>
    </row>
    <row r="60" spans="2:25" ht="15" customHeight="1" x14ac:dyDescent="0.3">
      <c r="B60" s="31" t="s">
        <v>186</v>
      </c>
      <c r="C60" s="9" t="s">
        <v>136</v>
      </c>
      <c r="D60" s="7" t="s">
        <v>57</v>
      </c>
      <c r="E60" s="9">
        <v>11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3">
        <f>SUM(E60:X60)</f>
        <v>11</v>
      </c>
    </row>
    <row r="61" spans="2:25" ht="15" customHeight="1" outlineLevel="1" x14ac:dyDescent="0.3">
      <c r="B61" s="34" t="s">
        <v>186</v>
      </c>
      <c r="C61" s="13"/>
      <c r="D61" s="14" t="s">
        <v>137</v>
      </c>
      <c r="E61" s="15">
        <f>IF($C$60="Inactif",0,IF(E13="Rocta",E60*0.08%+E60*0.08%*$M$4,IF(E13="Humains",E60*0.08%+E60*0.08%*$M$2+E60*0.08%*E35*0.5%,IF(E13="Méca",E60*0.08%+E60*0.08%*$M$3+E60*0.08%*E36*0.3%+E60*0.08%*E37*0.4%,E60*0.08%+E60*0.08%*$M$5+E60*0.08%*E38*0.25%))))</f>
        <v>0</v>
      </c>
      <c r="F61" s="15">
        <f t="shared" ref="F61:U61" si="27">IF($C$60="Inactif",0,IF(F13="Rocta",F60*0.08%+F60*0.08%*$M$4,IF(F13="Humains",F60*0.08%+F60*0.08%*$M$2+F60*0.08%*F35*0.5%,IF(F13="Méca",F60*0.08%+F60*0.08%*$M$3+F60*0.08%*F36*0.3%+F60*0.08%*F37*0.4%,F60*0.08%+F60*0.08%*$M$5+F60*0.08%*F38*0.25%))))</f>
        <v>0</v>
      </c>
      <c r="G61" s="15">
        <f t="shared" si="27"/>
        <v>0</v>
      </c>
      <c r="H61" s="15">
        <f t="shared" si="27"/>
        <v>0</v>
      </c>
      <c r="I61" s="15">
        <f t="shared" si="27"/>
        <v>0</v>
      </c>
      <c r="J61" s="15">
        <f t="shared" si="27"/>
        <v>0</v>
      </c>
      <c r="K61" s="15">
        <f t="shared" si="27"/>
        <v>0</v>
      </c>
      <c r="L61" s="15">
        <f t="shared" si="27"/>
        <v>0</v>
      </c>
      <c r="M61" s="15">
        <f t="shared" si="27"/>
        <v>0</v>
      </c>
      <c r="N61" s="15">
        <f t="shared" si="27"/>
        <v>0</v>
      </c>
      <c r="O61" s="15">
        <f t="shared" si="27"/>
        <v>0</v>
      </c>
      <c r="P61" s="15">
        <f t="shared" si="27"/>
        <v>0</v>
      </c>
      <c r="Q61" s="15">
        <f t="shared" si="27"/>
        <v>0</v>
      </c>
      <c r="R61" s="15">
        <f t="shared" si="27"/>
        <v>0</v>
      </c>
      <c r="S61" s="15">
        <f t="shared" si="27"/>
        <v>0</v>
      </c>
      <c r="T61" s="15">
        <f t="shared" si="27"/>
        <v>0</v>
      </c>
      <c r="U61" s="15">
        <f t="shared" si="27"/>
        <v>0</v>
      </c>
      <c r="V61" s="15">
        <f t="shared" ref="V61:X61" si="28">IF($C$60="Inactif",0,IF(V13="Rocta",V60*0.08%+V60*0.08%*$M$4,IF(V13="Humains",V60*0.08%+V60*0.08%*$M$2+V60*0.08%*V35*0.5%,IF(V13="Méca",V60*0.08%+V60*0.08%*$M$3+V60*0.08%*V36*0.3%+V60*0.08%*V37*0.4%,V60*0.08%+V60*0.08%*$M$5+V60*0.08%*V38*0.25%))))</f>
        <v>0</v>
      </c>
      <c r="W61" s="15">
        <f t="shared" si="28"/>
        <v>0</v>
      </c>
      <c r="X61" s="15">
        <f t="shared" si="28"/>
        <v>0</v>
      </c>
      <c r="Y61" s="15">
        <f>SUM(E61:X61)</f>
        <v>0</v>
      </c>
    </row>
    <row r="62" spans="2:25" ht="15" customHeight="1" x14ac:dyDescent="0.3">
      <c r="B62" s="31" t="s">
        <v>186</v>
      </c>
      <c r="C62" s="9" t="s">
        <v>136</v>
      </c>
      <c r="D62" s="7" t="s">
        <v>58</v>
      </c>
      <c r="E62" s="9">
        <v>0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3">
        <f t="shared" si="10"/>
        <v>0</v>
      </c>
    </row>
    <row r="63" spans="2:25" ht="15" customHeight="1" outlineLevel="1" x14ac:dyDescent="0.3">
      <c r="B63" s="34" t="s">
        <v>186</v>
      </c>
      <c r="C63" s="13"/>
      <c r="D63" s="14" t="s">
        <v>48</v>
      </c>
      <c r="E63" s="15">
        <f>IF($C$62="Inactif",0,IF(E13="Rocta",E62*0.08%+E62*0.08%*$M$4,IF(E13="Humains",E62*0.08%+E62*0.08%*$M$2+E62*0.08%*E35*0.5%,IF(E13="Méca",E62*0.08%+E62*0.08%*$M$3+E62*0.08%*E36*0.3%+E62*0.08%*E37*0.4%,E62*0.08%+E62*0.08%*$M$5+E62*0.08%*E38*0.25%))))</f>
        <v>0</v>
      </c>
      <c r="F63" s="15">
        <f t="shared" ref="F63:U63" si="29">IF($C$62="Inactif",0,IF(F13="Rocta",F62*0.08%+F62*0.08%*$M$4,IF(F13="Humains",F62*0.08%+F62*0.08%*$M$2+F62*0.08%*F35*0.5%,IF(F13="Méca",F62*0.08%+F62*0.08%*$M$3+F62*0.08%*F36*0.3%+F62*0.08%*F37*0.4%,F62*0.08%+F62*0.08%*$M$5+F62*0.08%*F38*0.25%))))</f>
        <v>0</v>
      </c>
      <c r="G63" s="15">
        <f t="shared" si="29"/>
        <v>0</v>
      </c>
      <c r="H63" s="15">
        <f t="shared" si="29"/>
        <v>0</v>
      </c>
      <c r="I63" s="15">
        <f t="shared" si="29"/>
        <v>0</v>
      </c>
      <c r="J63" s="15">
        <f t="shared" si="29"/>
        <v>0</v>
      </c>
      <c r="K63" s="15">
        <f t="shared" si="29"/>
        <v>0</v>
      </c>
      <c r="L63" s="15">
        <f t="shared" si="29"/>
        <v>0</v>
      </c>
      <c r="M63" s="15">
        <f t="shared" si="29"/>
        <v>0</v>
      </c>
      <c r="N63" s="15">
        <f t="shared" si="29"/>
        <v>0</v>
      </c>
      <c r="O63" s="15">
        <f t="shared" si="29"/>
        <v>0</v>
      </c>
      <c r="P63" s="15">
        <f t="shared" si="29"/>
        <v>0</v>
      </c>
      <c r="Q63" s="15">
        <f t="shared" si="29"/>
        <v>0</v>
      </c>
      <c r="R63" s="15">
        <f t="shared" si="29"/>
        <v>0</v>
      </c>
      <c r="S63" s="15">
        <f t="shared" si="29"/>
        <v>0</v>
      </c>
      <c r="T63" s="15">
        <f t="shared" si="29"/>
        <v>0</v>
      </c>
      <c r="U63" s="15">
        <f t="shared" si="29"/>
        <v>0</v>
      </c>
      <c r="V63" s="15">
        <f t="shared" ref="V63:X63" si="30">IF($C$62="Inactif",0,IF(V13="Rocta",V62*0.08%+V62*0.08%*$M$4,IF(V13="Humains",V62*0.08%+V62*0.08%*$M$2+V62*0.08%*V35*0.5%,IF(V13="Méca",V62*0.08%+V62*0.08%*$M$3+V62*0.08%*V36*0.3%+V62*0.08%*V37*0.4%,V62*0.08%+V62*0.08%*$M$5+V62*0.08%*V38*0.25%))))</f>
        <v>0</v>
      </c>
      <c r="W63" s="15">
        <f t="shared" si="30"/>
        <v>0</v>
      </c>
      <c r="X63" s="15">
        <f t="shared" si="30"/>
        <v>0</v>
      </c>
      <c r="Y63" s="15">
        <f>SUM(E63:X63)</f>
        <v>0</v>
      </c>
    </row>
    <row r="64" spans="2:25" ht="15" customHeight="1" x14ac:dyDescent="0.3">
      <c r="B64" s="31" t="s">
        <v>186</v>
      </c>
      <c r="C64" s="9" t="s">
        <v>135</v>
      </c>
      <c r="D64" s="7" t="s">
        <v>59</v>
      </c>
      <c r="E64" s="9">
        <v>0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3">
        <f t="shared" si="10"/>
        <v>0</v>
      </c>
    </row>
    <row r="65" spans="2:26" ht="15" customHeight="1" outlineLevel="1" x14ac:dyDescent="0.3">
      <c r="B65" s="34" t="s">
        <v>186</v>
      </c>
      <c r="C65" s="13"/>
      <c r="D65" s="14" t="s">
        <v>2</v>
      </c>
      <c r="E65" s="15">
        <f>IF($C$64="Inactif",0,IF(E15="Rocta",E64*0.2%+E64*0.2%*$M$4,IF(E15="Humains",E64*0.2%+E64*0.2%*$M$2+E64*0.2%*E35*0.5%,IF(E15="Méca",E64*0.2%+E64*0.2%*$M$3+E64*0.2%*E36*0.3%+E64*0.2%*E37*0.4%,E64*0.2%+E64*0.2%*$M$5+E64*0.2%*E38*0.25%))))</f>
        <v>0</v>
      </c>
      <c r="F65" s="15">
        <f t="shared" ref="F65:U65" si="31">IF($C$64="Inactif",0,IF(F15="Rocta",F64*0.2%+F64*0.2%*$M$4,IF(F15="Humains",F64*0.2%+F64*0.2%*$M$2+F64*0.2%*F35*0.5%,IF(F15="Méca",F64*0.2%+F64*0.2%*$M$3+F64*0.2%*F36*0.3%+F64*0.2%*F37*0.4%,F64*0.2%+F64*0.2%*$M$5+F64*0.2%*F38*0.25%))))</f>
        <v>0</v>
      </c>
      <c r="G65" s="15">
        <f t="shared" si="31"/>
        <v>0</v>
      </c>
      <c r="H65" s="15">
        <f t="shared" si="31"/>
        <v>0</v>
      </c>
      <c r="I65" s="15">
        <f t="shared" si="31"/>
        <v>0</v>
      </c>
      <c r="J65" s="15">
        <f t="shared" si="31"/>
        <v>0</v>
      </c>
      <c r="K65" s="15">
        <f t="shared" si="31"/>
        <v>0</v>
      </c>
      <c r="L65" s="15">
        <f t="shared" si="31"/>
        <v>0</v>
      </c>
      <c r="M65" s="15">
        <f t="shared" si="31"/>
        <v>0</v>
      </c>
      <c r="N65" s="15">
        <f t="shared" si="31"/>
        <v>0</v>
      </c>
      <c r="O65" s="15">
        <f t="shared" si="31"/>
        <v>0</v>
      </c>
      <c r="P65" s="15">
        <f t="shared" si="31"/>
        <v>0</v>
      </c>
      <c r="Q65" s="15">
        <f t="shared" si="31"/>
        <v>0</v>
      </c>
      <c r="R65" s="15">
        <f t="shared" si="31"/>
        <v>0</v>
      </c>
      <c r="S65" s="15">
        <f t="shared" si="31"/>
        <v>0</v>
      </c>
      <c r="T65" s="15">
        <f t="shared" si="31"/>
        <v>0</v>
      </c>
      <c r="U65" s="15">
        <f t="shared" si="31"/>
        <v>0</v>
      </c>
      <c r="V65" s="15">
        <f t="shared" ref="V65:X65" si="32">IF($C$64="Inactif",0,IF(V15="Rocta",V64*0.2%+V64*0.2%*$M$4,IF(V15="Humains",V64*0.2%+V64*0.2%*$M$2+V64*0.2%*V35*0.5%,IF(V15="Méca",V64*0.2%+V64*0.2%*$M$3+V64*0.2%*V36*0.3%+V64*0.2%*V37*0.4%,V64*0.2%+V64*0.2%*$M$5+V64*0.2%*V38*0.25%))))</f>
        <v>0</v>
      </c>
      <c r="W65" s="15">
        <f t="shared" si="32"/>
        <v>0</v>
      </c>
      <c r="X65" s="15">
        <f t="shared" si="32"/>
        <v>0</v>
      </c>
      <c r="Y65" s="15">
        <f>SUM(E65:X65)</f>
        <v>0</v>
      </c>
    </row>
    <row r="66" spans="2:26" ht="15" customHeight="1" x14ac:dyDescent="0.3">
      <c r="B66" s="31" t="s">
        <v>186</v>
      </c>
      <c r="C66" s="9" t="s">
        <v>136</v>
      </c>
      <c r="D66" s="7" t="s">
        <v>60</v>
      </c>
      <c r="E66" s="9">
        <v>0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3">
        <f t="shared" si="10"/>
        <v>0</v>
      </c>
    </row>
    <row r="67" spans="2:26" ht="15" customHeight="1" outlineLevel="1" x14ac:dyDescent="0.3">
      <c r="B67" s="34" t="s">
        <v>186</v>
      </c>
      <c r="C67" s="13"/>
      <c r="D67" s="14" t="s">
        <v>48</v>
      </c>
      <c r="E67" s="15">
        <f>IF($C$66="Inactif",0,IF(E13="Rocta",E66*0.08%+E66*0.08%*$M$4,IF(E13="Humains",E66*0.08%+E66*0.08%*$M$2+E66*0.08%*E35*0.5%,IF(E13="Méca",E66*0.08%+E66*0.08%*$M$3+E66*0.08%*E36*0.3%+E66*0.08%*E37*0.4%,E66*0.08%+E66*0.08%*$M$5+E66*0.08%*E38*0.25%))))</f>
        <v>0</v>
      </c>
      <c r="F67" s="15">
        <f t="shared" ref="F67:U67" si="33">IF($C$66="Inactif",0,IF(F13="Rocta",F66*0.08%+F66*0.08%*$M$4,IF(F13="Humains",F66*0.08%+F66*0.08%*$M$2+F66*0.08%*F35*0.5%,IF(F13="Méca",F66*0.08%+F66*0.08%*$M$3+F66*0.08%*F36*0.3%+F66*0.08%*F37*0.4%,F66*0.08%+F66*0.08%*$M$5+F66*0.08%*F38*0.25%))))</f>
        <v>0</v>
      </c>
      <c r="G67" s="15">
        <f t="shared" si="33"/>
        <v>0</v>
      </c>
      <c r="H67" s="15">
        <f t="shared" si="33"/>
        <v>0</v>
      </c>
      <c r="I67" s="15">
        <f t="shared" si="33"/>
        <v>0</v>
      </c>
      <c r="J67" s="15">
        <f t="shared" si="33"/>
        <v>0</v>
      </c>
      <c r="K67" s="15">
        <f t="shared" si="33"/>
        <v>0</v>
      </c>
      <c r="L67" s="15">
        <f t="shared" si="33"/>
        <v>0</v>
      </c>
      <c r="M67" s="15">
        <f t="shared" si="33"/>
        <v>0</v>
      </c>
      <c r="N67" s="15">
        <f t="shared" si="33"/>
        <v>0</v>
      </c>
      <c r="O67" s="15">
        <f t="shared" si="33"/>
        <v>0</v>
      </c>
      <c r="P67" s="15">
        <f t="shared" si="33"/>
        <v>0</v>
      </c>
      <c r="Q67" s="15">
        <f t="shared" si="33"/>
        <v>0</v>
      </c>
      <c r="R67" s="15">
        <f t="shared" si="33"/>
        <v>0</v>
      </c>
      <c r="S67" s="15">
        <f t="shared" si="33"/>
        <v>0</v>
      </c>
      <c r="T67" s="15">
        <f t="shared" si="33"/>
        <v>0</v>
      </c>
      <c r="U67" s="15">
        <f t="shared" si="33"/>
        <v>0</v>
      </c>
      <c r="V67" s="15">
        <f t="shared" ref="V67:X67" si="34">IF($C$66="Inactif",0,IF(V13="Rocta",V66*0.08%+V66*0.08%*$M$4,IF(V13="Humains",V66*0.08%+V66*0.08%*$M$2+V66*0.08%*V35*0.5%,IF(V13="Méca",V66*0.08%+V66*0.08%*$M$3+V66*0.08%*V36*0.3%+V66*0.08%*V37*0.4%,V66*0.08%+V66*0.08%*$M$5+V66*0.08%*V38*0.25%))))</f>
        <v>0</v>
      </c>
      <c r="W67" s="15">
        <f t="shared" si="34"/>
        <v>0</v>
      </c>
      <c r="X67" s="15">
        <f t="shared" si="34"/>
        <v>0</v>
      </c>
      <c r="Y67" s="15">
        <f>SUM(E67:X67)</f>
        <v>0</v>
      </c>
    </row>
    <row r="68" spans="2:26" ht="15" customHeight="1" x14ac:dyDescent="0.3">
      <c r="B68" s="31" t="s">
        <v>186</v>
      </c>
      <c r="C68" s="9" t="s">
        <v>135</v>
      </c>
      <c r="D68" s="7" t="s">
        <v>61</v>
      </c>
      <c r="E68" s="9">
        <v>15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3">
        <f>SUM(E68:X68)</f>
        <v>15</v>
      </c>
    </row>
    <row r="69" spans="2:26" ht="15" customHeight="1" outlineLevel="1" x14ac:dyDescent="0.3">
      <c r="B69" s="34" t="s">
        <v>186</v>
      </c>
      <c r="C69" s="11"/>
      <c r="D69" s="14" t="s">
        <v>45</v>
      </c>
      <c r="E69" s="15">
        <f>IF($C$68="Inactif",0,IF(E13="Rocta",E68*0.06%+E68*0.06%*$M$4,IF(E13="Humains",E68*0.06%+E68*0.06%*$M$2+E68*0.06%*E35*0.5%,IF(E13="Méca",E68*0.06%+E68*0.06%*$M$3+E68*0.06%*E36*0.3%+E68*0.06%*E37*0.4%,E68*0.06%+E68*0.06%*$M$5+E68*0.06%*E38*0.25%))))</f>
        <v>9.8999999999999991E-3</v>
      </c>
      <c r="F69" s="15">
        <f t="shared" ref="F69:U69" si="35">IF($C$68="Inactif",0,IF(F13="Rocta",F68*0.06%+F68*0.06%*$M$4,IF(F13="Humains",F68*0.06%+F68*0.06%*$M$2+F68*0.06%*F35*0.5%,IF(F13="Méca",F68*0.06%+F68*0.06%*$M$3+F68*0.06%*F36*0.3%+F68*0.06%*F37*0.4%,F68*0.06%+F68*0.06%*$M$5+F68*0.06%*F38*0.25%))))</f>
        <v>0</v>
      </c>
      <c r="G69" s="15">
        <f t="shared" si="35"/>
        <v>0</v>
      </c>
      <c r="H69" s="15">
        <f t="shared" si="35"/>
        <v>0</v>
      </c>
      <c r="I69" s="15">
        <f t="shared" si="35"/>
        <v>0</v>
      </c>
      <c r="J69" s="15">
        <f t="shared" si="35"/>
        <v>0</v>
      </c>
      <c r="K69" s="15">
        <f t="shared" si="35"/>
        <v>0</v>
      </c>
      <c r="L69" s="15">
        <f t="shared" si="35"/>
        <v>0</v>
      </c>
      <c r="M69" s="15">
        <f t="shared" si="35"/>
        <v>0</v>
      </c>
      <c r="N69" s="15">
        <f t="shared" si="35"/>
        <v>0</v>
      </c>
      <c r="O69" s="15">
        <f t="shared" si="35"/>
        <v>0</v>
      </c>
      <c r="P69" s="15">
        <f t="shared" si="35"/>
        <v>0</v>
      </c>
      <c r="Q69" s="15">
        <f t="shared" si="35"/>
        <v>0</v>
      </c>
      <c r="R69" s="15">
        <f t="shared" si="35"/>
        <v>0</v>
      </c>
      <c r="S69" s="15">
        <f t="shared" si="35"/>
        <v>0</v>
      </c>
      <c r="T69" s="15">
        <f t="shared" si="35"/>
        <v>0</v>
      </c>
      <c r="U69" s="15">
        <f t="shared" si="35"/>
        <v>0</v>
      </c>
      <c r="V69" s="15">
        <f t="shared" ref="V69:X69" si="36">IF($C$68="Inactif",0,IF(V13="Rocta",V68*0.06%+V68*0.06%*$M$4,IF(V13="Humains",V68*0.06%+V68*0.06%*$M$2+V68*0.06%*V35*0.5%,IF(V13="Méca",V68*0.06%+V68*0.06%*$M$3+V68*0.06%*V36*0.3%+V68*0.06%*V37*0.4%,V68*0.06%+V68*0.06%*$M$5+V68*0.06%*V38*0.25%))))</f>
        <v>0</v>
      </c>
      <c r="W69" s="15">
        <f t="shared" si="36"/>
        <v>0</v>
      </c>
      <c r="X69" s="15">
        <f t="shared" si="36"/>
        <v>0</v>
      </c>
      <c r="Y69" s="15">
        <f>SUM(E69:X69)</f>
        <v>9.8999999999999991E-3</v>
      </c>
    </row>
    <row r="70" spans="2:26" ht="15" customHeight="1" x14ac:dyDescent="0.3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2:26" ht="15" customHeight="1" outlineLevel="1" x14ac:dyDescent="0.3">
      <c r="B71" s="34" t="s">
        <v>186</v>
      </c>
      <c r="D71" s="9" t="s">
        <v>178</v>
      </c>
      <c r="E71" s="27">
        <f>E41+E43+E47+E49+E55+E57+E59+E69</f>
        <v>7.9419999999999991E-2</v>
      </c>
      <c r="F71" s="27">
        <f t="shared" ref="F71:U71" si="37">F41+F43+F47+F49+F55+F57+F59+F69</f>
        <v>0</v>
      </c>
      <c r="G71" s="27">
        <f t="shared" si="37"/>
        <v>0</v>
      </c>
      <c r="H71" s="27">
        <f t="shared" si="37"/>
        <v>0</v>
      </c>
      <c r="I71" s="27">
        <f t="shared" si="37"/>
        <v>0</v>
      </c>
      <c r="J71" s="27">
        <f t="shared" si="37"/>
        <v>0</v>
      </c>
      <c r="K71" s="27">
        <f t="shared" si="37"/>
        <v>0</v>
      </c>
      <c r="L71" s="27">
        <f t="shared" si="37"/>
        <v>0</v>
      </c>
      <c r="M71" s="27">
        <f t="shared" si="37"/>
        <v>0</v>
      </c>
      <c r="N71" s="27">
        <f t="shared" si="37"/>
        <v>0</v>
      </c>
      <c r="O71" s="27">
        <f t="shared" si="37"/>
        <v>0</v>
      </c>
      <c r="P71" s="27">
        <f t="shared" si="37"/>
        <v>0</v>
      </c>
      <c r="Q71" s="27">
        <f t="shared" si="37"/>
        <v>0</v>
      </c>
      <c r="R71" s="27">
        <f t="shared" si="37"/>
        <v>0</v>
      </c>
      <c r="S71" s="27">
        <f t="shared" si="37"/>
        <v>0</v>
      </c>
      <c r="T71" s="27">
        <f t="shared" si="37"/>
        <v>0</v>
      </c>
      <c r="U71" s="27">
        <f t="shared" si="37"/>
        <v>0</v>
      </c>
      <c r="V71" s="27">
        <f t="shared" ref="V71:X71" si="38">V41+V43+V47+V49+V55+V57+V59+V69</f>
        <v>0</v>
      </c>
      <c r="W71" s="27">
        <f t="shared" si="38"/>
        <v>0</v>
      </c>
      <c r="X71" s="27">
        <f t="shared" si="38"/>
        <v>0</v>
      </c>
      <c r="Y71" s="15">
        <f>SUM(E71:X71)</f>
        <v>7.9419999999999991E-2</v>
      </c>
      <c r="Z71" s="42" t="s">
        <v>192</v>
      </c>
    </row>
    <row r="72" spans="2:26" ht="15" customHeight="1" outlineLevel="1" x14ac:dyDescent="0.3">
      <c r="B72" s="34" t="s">
        <v>186</v>
      </c>
      <c r="D72" s="9" t="s">
        <v>179</v>
      </c>
      <c r="E72" s="27">
        <f>E41+E43+E47+E49+E51+E55+E61+E69</f>
        <v>5.2139999999999992E-2</v>
      </c>
      <c r="F72" s="27">
        <f t="shared" ref="F72:U72" si="39">F41+F43+F47+F49+F51+F55+F61+F69</f>
        <v>0</v>
      </c>
      <c r="G72" s="27">
        <f t="shared" si="39"/>
        <v>0</v>
      </c>
      <c r="H72" s="27">
        <f t="shared" si="39"/>
        <v>0</v>
      </c>
      <c r="I72" s="27">
        <f t="shared" si="39"/>
        <v>0</v>
      </c>
      <c r="J72" s="27">
        <f t="shared" si="39"/>
        <v>0</v>
      </c>
      <c r="K72" s="27">
        <f t="shared" si="39"/>
        <v>0</v>
      </c>
      <c r="L72" s="27">
        <f t="shared" si="39"/>
        <v>0</v>
      </c>
      <c r="M72" s="27">
        <f t="shared" si="39"/>
        <v>0</v>
      </c>
      <c r="N72" s="27">
        <f t="shared" si="39"/>
        <v>0</v>
      </c>
      <c r="O72" s="27">
        <f t="shared" si="39"/>
        <v>0</v>
      </c>
      <c r="P72" s="27">
        <f t="shared" si="39"/>
        <v>0</v>
      </c>
      <c r="Q72" s="27">
        <f t="shared" si="39"/>
        <v>0</v>
      </c>
      <c r="R72" s="27">
        <f t="shared" si="39"/>
        <v>0</v>
      </c>
      <c r="S72" s="27">
        <f t="shared" si="39"/>
        <v>0</v>
      </c>
      <c r="T72" s="27">
        <f t="shared" si="39"/>
        <v>0</v>
      </c>
      <c r="U72" s="27">
        <f t="shared" si="39"/>
        <v>0</v>
      </c>
      <c r="V72" s="27">
        <f t="shared" ref="V72:X72" si="40">V41+V43+V47+V49+V51+V55+V61+V69</f>
        <v>0</v>
      </c>
      <c r="W72" s="27">
        <f t="shared" si="40"/>
        <v>0</v>
      </c>
      <c r="X72" s="27">
        <f t="shared" si="40"/>
        <v>0</v>
      </c>
      <c r="Y72" s="15">
        <f>SUM(E72:X72)</f>
        <v>5.2139999999999992E-2</v>
      </c>
      <c r="Z72" s="42" t="s">
        <v>193</v>
      </c>
    </row>
    <row r="73" spans="2:26" ht="15" customHeight="1" outlineLevel="1" x14ac:dyDescent="0.3">
      <c r="B73" s="34" t="s">
        <v>186</v>
      </c>
      <c r="D73" s="9" t="s">
        <v>180</v>
      </c>
      <c r="E73" s="27">
        <f>E41+E43+E45+E47+E49+E53+E55+E63+E67+E69</f>
        <v>8.6459999999999981E-2</v>
      </c>
      <c r="F73" s="27">
        <f t="shared" ref="F73:U73" si="41">F41+F43+F45+F47+F49+F53+F55+F63+F67+F69</f>
        <v>0</v>
      </c>
      <c r="G73" s="27">
        <f t="shared" si="41"/>
        <v>0</v>
      </c>
      <c r="H73" s="27">
        <f t="shared" si="41"/>
        <v>0</v>
      </c>
      <c r="I73" s="27">
        <f t="shared" si="41"/>
        <v>0</v>
      </c>
      <c r="J73" s="27">
        <f t="shared" si="41"/>
        <v>0</v>
      </c>
      <c r="K73" s="27">
        <f t="shared" si="41"/>
        <v>0</v>
      </c>
      <c r="L73" s="27">
        <f t="shared" si="41"/>
        <v>0</v>
      </c>
      <c r="M73" s="27">
        <f t="shared" si="41"/>
        <v>0</v>
      </c>
      <c r="N73" s="27">
        <f t="shared" si="41"/>
        <v>0</v>
      </c>
      <c r="O73" s="27">
        <f t="shared" si="41"/>
        <v>0</v>
      </c>
      <c r="P73" s="27">
        <f t="shared" si="41"/>
        <v>0</v>
      </c>
      <c r="Q73" s="27">
        <f t="shared" si="41"/>
        <v>0</v>
      </c>
      <c r="R73" s="27">
        <f t="shared" si="41"/>
        <v>0</v>
      </c>
      <c r="S73" s="27">
        <f t="shared" si="41"/>
        <v>0</v>
      </c>
      <c r="T73" s="27">
        <f t="shared" si="41"/>
        <v>0</v>
      </c>
      <c r="U73" s="27">
        <f t="shared" si="41"/>
        <v>0</v>
      </c>
      <c r="V73" s="27">
        <f t="shared" ref="V73:X73" si="42">V41+V43+V45+V47+V49+V53+V55+V63+V67+V69</f>
        <v>0</v>
      </c>
      <c r="W73" s="27">
        <f t="shared" si="42"/>
        <v>0</v>
      </c>
      <c r="X73" s="27">
        <f t="shared" si="42"/>
        <v>0</v>
      </c>
      <c r="Y73" s="15">
        <f>SUM(E73:X73)</f>
        <v>8.6459999999999981E-2</v>
      </c>
      <c r="Z73" s="42" t="s">
        <v>194</v>
      </c>
    </row>
    <row r="74" spans="2:26" ht="15" customHeight="1" x14ac:dyDescent="0.3"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2:26" ht="15" customHeight="1" x14ac:dyDescent="0.3">
      <c r="B75" s="5" t="s">
        <v>169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2:26" ht="15" customHeight="1" outlineLevel="1" x14ac:dyDescent="0.3">
      <c r="B76" s="35" t="s">
        <v>186</v>
      </c>
      <c r="C76" s="9" t="s">
        <v>62</v>
      </c>
      <c r="D76" s="9" t="s">
        <v>176</v>
      </c>
      <c r="E76" s="9">
        <f>30*(1+IF(OR(E11=6,E11=10),17%,IF(OR(E11=7,E11=9),23%,IF(E11=8,35%,0))))*$E$2</f>
        <v>300</v>
      </c>
      <c r="F76" s="9">
        <f t="shared" ref="F76:U76" si="43">30*(1+IF(OR(F11=6,F11=10),17%,IF(OR(F11=7,F11=9),23%,IF(F11=8,35%,0))))*$E$2</f>
        <v>300</v>
      </c>
      <c r="G76" s="9">
        <f t="shared" si="43"/>
        <v>300</v>
      </c>
      <c r="H76" s="9">
        <f t="shared" si="43"/>
        <v>300</v>
      </c>
      <c r="I76" s="9">
        <f t="shared" si="43"/>
        <v>300</v>
      </c>
      <c r="J76" s="9">
        <f t="shared" si="43"/>
        <v>300</v>
      </c>
      <c r="K76" s="9">
        <f t="shared" si="43"/>
        <v>300</v>
      </c>
      <c r="L76" s="9">
        <f t="shared" si="43"/>
        <v>300</v>
      </c>
      <c r="M76" s="9">
        <f t="shared" si="43"/>
        <v>300</v>
      </c>
      <c r="N76" s="9">
        <f t="shared" si="43"/>
        <v>300</v>
      </c>
      <c r="O76" s="9">
        <f t="shared" si="43"/>
        <v>300</v>
      </c>
      <c r="P76" s="9">
        <f t="shared" si="43"/>
        <v>300</v>
      </c>
      <c r="Q76" s="9">
        <f t="shared" si="43"/>
        <v>300</v>
      </c>
      <c r="R76" s="9">
        <f t="shared" si="43"/>
        <v>300</v>
      </c>
      <c r="S76" s="9">
        <f t="shared" si="43"/>
        <v>300</v>
      </c>
      <c r="T76" s="9">
        <f t="shared" si="43"/>
        <v>300</v>
      </c>
      <c r="U76" s="9">
        <f t="shared" si="43"/>
        <v>300</v>
      </c>
      <c r="V76" s="9">
        <f t="shared" ref="V76:X76" si="44">30*(1+IF(OR(V11=6,V11=10),17%,IF(OR(V11=7,V11=9),23%,IF(V11=8,35%,0))))*$E$2</f>
        <v>300</v>
      </c>
      <c r="W76" s="9">
        <f t="shared" si="44"/>
        <v>300</v>
      </c>
      <c r="X76" s="9">
        <f t="shared" si="44"/>
        <v>300</v>
      </c>
      <c r="Y76" s="22">
        <f>SUM(E76:X76)</f>
        <v>6000</v>
      </c>
      <c r="Z76" s="42" t="s">
        <v>192</v>
      </c>
    </row>
    <row r="77" spans="2:26" ht="15" customHeight="1" outlineLevel="1" x14ac:dyDescent="0.3">
      <c r="B77" s="35" t="s">
        <v>186</v>
      </c>
      <c r="C77" s="9" t="s">
        <v>62</v>
      </c>
      <c r="D77" s="9" t="s">
        <v>177</v>
      </c>
      <c r="E77" s="9">
        <f>15*(1+IF(E11=1,40%,IF(E11=2,30%,IF(E11=3,20%,0))))*$E$2</f>
        <v>150</v>
      </c>
      <c r="F77" s="9">
        <f t="shared" ref="F77:X77" si="45">15*(1+IF(F11=1,40%,IF(F11=2,30%,IF(F11=3,20%,0))))*$E$2</f>
        <v>150</v>
      </c>
      <c r="G77" s="9">
        <f t="shared" si="45"/>
        <v>150</v>
      </c>
      <c r="H77" s="9">
        <f t="shared" si="45"/>
        <v>150</v>
      </c>
      <c r="I77" s="9">
        <f t="shared" si="45"/>
        <v>150</v>
      </c>
      <c r="J77" s="9">
        <f t="shared" si="45"/>
        <v>150</v>
      </c>
      <c r="K77" s="9">
        <f t="shared" si="45"/>
        <v>150</v>
      </c>
      <c r="L77" s="9">
        <f t="shared" si="45"/>
        <v>150</v>
      </c>
      <c r="M77" s="9">
        <f t="shared" si="45"/>
        <v>150</v>
      </c>
      <c r="N77" s="9">
        <f t="shared" si="45"/>
        <v>150</v>
      </c>
      <c r="O77" s="9">
        <f t="shared" si="45"/>
        <v>150</v>
      </c>
      <c r="P77" s="9">
        <f t="shared" si="45"/>
        <v>150</v>
      </c>
      <c r="Q77" s="9">
        <f t="shared" si="45"/>
        <v>150</v>
      </c>
      <c r="R77" s="9">
        <f t="shared" si="45"/>
        <v>150</v>
      </c>
      <c r="S77" s="9">
        <f t="shared" si="45"/>
        <v>150</v>
      </c>
      <c r="T77" s="9">
        <f t="shared" si="45"/>
        <v>150</v>
      </c>
      <c r="U77" s="9">
        <f t="shared" si="45"/>
        <v>150</v>
      </c>
      <c r="V77" s="9">
        <f t="shared" si="45"/>
        <v>150</v>
      </c>
      <c r="W77" s="9">
        <f t="shared" si="45"/>
        <v>150</v>
      </c>
      <c r="X77" s="9">
        <f t="shared" si="45"/>
        <v>150</v>
      </c>
      <c r="Y77" s="22">
        <f>SUM(E77:X77)</f>
        <v>3000</v>
      </c>
      <c r="Z77" s="42" t="s">
        <v>193</v>
      </c>
    </row>
    <row r="78" spans="2:26" ht="15" customHeight="1" outlineLevel="1" x14ac:dyDescent="0.3">
      <c r="B78" s="35" t="s">
        <v>186</v>
      </c>
      <c r="C78" s="9" t="s">
        <v>62</v>
      </c>
      <c r="D78" s="9" t="s">
        <v>63</v>
      </c>
      <c r="E78" s="22">
        <f>E76*E17*1.1^E17</f>
        <v>1397048.1665021635</v>
      </c>
      <c r="F78" s="22">
        <f t="shared" ref="F78:U78" si="46">F76*F17*1.1^F17</f>
        <v>0</v>
      </c>
      <c r="G78" s="22">
        <f t="shared" si="46"/>
        <v>0</v>
      </c>
      <c r="H78" s="22">
        <f t="shared" si="46"/>
        <v>0</v>
      </c>
      <c r="I78" s="22">
        <f t="shared" si="46"/>
        <v>0</v>
      </c>
      <c r="J78" s="22">
        <f t="shared" si="46"/>
        <v>0</v>
      </c>
      <c r="K78" s="22">
        <f t="shared" si="46"/>
        <v>0</v>
      </c>
      <c r="L78" s="22">
        <f t="shared" si="46"/>
        <v>0</v>
      </c>
      <c r="M78" s="22">
        <f t="shared" si="46"/>
        <v>0</v>
      </c>
      <c r="N78" s="22">
        <f t="shared" si="46"/>
        <v>0</v>
      </c>
      <c r="O78" s="22">
        <f t="shared" si="46"/>
        <v>0</v>
      </c>
      <c r="P78" s="22">
        <f t="shared" si="46"/>
        <v>0</v>
      </c>
      <c r="Q78" s="22">
        <f t="shared" si="46"/>
        <v>0</v>
      </c>
      <c r="R78" s="22">
        <f t="shared" si="46"/>
        <v>0</v>
      </c>
      <c r="S78" s="22">
        <f t="shared" si="46"/>
        <v>0</v>
      </c>
      <c r="T78" s="22">
        <f t="shared" si="46"/>
        <v>0</v>
      </c>
      <c r="U78" s="22">
        <f t="shared" si="46"/>
        <v>0</v>
      </c>
      <c r="V78" s="22">
        <f t="shared" ref="V78:X78" si="47">V76*V17*1.1^V17</f>
        <v>0</v>
      </c>
      <c r="W78" s="22">
        <f t="shared" si="47"/>
        <v>0</v>
      </c>
      <c r="X78" s="22">
        <f t="shared" si="47"/>
        <v>0</v>
      </c>
      <c r="Y78" s="22">
        <f>SUM(E78:X78)</f>
        <v>1397048.1665021635</v>
      </c>
      <c r="Z78" s="42" t="s">
        <v>192</v>
      </c>
    </row>
    <row r="79" spans="2:26" ht="15" customHeight="1" outlineLevel="1" x14ac:dyDescent="0.3">
      <c r="B79" s="35" t="s">
        <v>186</v>
      </c>
      <c r="C79" s="9" t="s">
        <v>62</v>
      </c>
      <c r="D79" s="9" t="s">
        <v>64</v>
      </c>
      <c r="E79" s="22">
        <f>(20*(1+IF(E11=1,40%,IF(E11=2,30%,IF(E11=3,20%,0))))*$E$2)*E18*1.1^E18</f>
        <v>320929.26675615762</v>
      </c>
      <c r="F79" s="22">
        <f t="shared" ref="F79:X79" si="48">(20*(1+IF(F11=1,40%,IF(F11=2,30%,IF(F11=3,20%,0))))*$E$2)*F18*1.1^F18</f>
        <v>0</v>
      </c>
      <c r="G79" s="22">
        <f t="shared" si="48"/>
        <v>0</v>
      </c>
      <c r="H79" s="22">
        <f t="shared" si="48"/>
        <v>0</v>
      </c>
      <c r="I79" s="22">
        <f t="shared" si="48"/>
        <v>0</v>
      </c>
      <c r="J79" s="22">
        <f t="shared" si="48"/>
        <v>0</v>
      </c>
      <c r="K79" s="22">
        <f t="shared" si="48"/>
        <v>0</v>
      </c>
      <c r="L79" s="22">
        <f t="shared" si="48"/>
        <v>0</v>
      </c>
      <c r="M79" s="22">
        <f t="shared" si="48"/>
        <v>0</v>
      </c>
      <c r="N79" s="22">
        <f t="shared" si="48"/>
        <v>0</v>
      </c>
      <c r="O79" s="22">
        <f t="shared" si="48"/>
        <v>0</v>
      </c>
      <c r="P79" s="22">
        <f t="shared" si="48"/>
        <v>0</v>
      </c>
      <c r="Q79" s="22">
        <f t="shared" si="48"/>
        <v>0</v>
      </c>
      <c r="R79" s="22">
        <f t="shared" si="48"/>
        <v>0</v>
      </c>
      <c r="S79" s="22">
        <f t="shared" si="48"/>
        <v>0</v>
      </c>
      <c r="T79" s="22">
        <f t="shared" si="48"/>
        <v>0</v>
      </c>
      <c r="U79" s="22">
        <f t="shared" si="48"/>
        <v>0</v>
      </c>
      <c r="V79" s="22">
        <f t="shared" si="48"/>
        <v>0</v>
      </c>
      <c r="W79" s="22">
        <f t="shared" si="48"/>
        <v>0</v>
      </c>
      <c r="X79" s="22">
        <f t="shared" si="48"/>
        <v>0</v>
      </c>
      <c r="Y79" s="22">
        <f t="shared" ref="Y79:Y144" si="49">SUM(E79:X79)</f>
        <v>320929.26675615762</v>
      </c>
      <c r="Z79" s="42" t="s">
        <v>193</v>
      </c>
    </row>
    <row r="80" spans="2:26" ht="15" customHeight="1" outlineLevel="1" x14ac:dyDescent="0.3">
      <c r="B80" s="35" t="s">
        <v>186</v>
      </c>
      <c r="C80" s="9" t="s">
        <v>62</v>
      </c>
      <c r="D80" s="9" t="s">
        <v>65</v>
      </c>
      <c r="E80" s="22">
        <f t="shared" ref="E80:U80" si="50">10*E19*1.1^E19*(1.44-0.004*E12)*$E$2</f>
        <v>507703.3028909507</v>
      </c>
      <c r="F80" s="22">
        <f t="shared" si="50"/>
        <v>0</v>
      </c>
      <c r="G80" s="22">
        <f t="shared" si="50"/>
        <v>0</v>
      </c>
      <c r="H80" s="22">
        <f t="shared" si="50"/>
        <v>0</v>
      </c>
      <c r="I80" s="22">
        <f t="shared" si="50"/>
        <v>0</v>
      </c>
      <c r="J80" s="22">
        <f t="shared" si="50"/>
        <v>0</v>
      </c>
      <c r="K80" s="22">
        <f t="shared" si="50"/>
        <v>0</v>
      </c>
      <c r="L80" s="22">
        <f t="shared" si="50"/>
        <v>0</v>
      </c>
      <c r="M80" s="22">
        <f t="shared" si="50"/>
        <v>0</v>
      </c>
      <c r="N80" s="22">
        <f t="shared" si="50"/>
        <v>0</v>
      </c>
      <c r="O80" s="22">
        <f t="shared" si="50"/>
        <v>0</v>
      </c>
      <c r="P80" s="22">
        <f t="shared" si="50"/>
        <v>0</v>
      </c>
      <c r="Q80" s="22">
        <f t="shared" si="50"/>
        <v>0</v>
      </c>
      <c r="R80" s="22">
        <f t="shared" si="50"/>
        <v>0</v>
      </c>
      <c r="S80" s="22">
        <f t="shared" si="50"/>
        <v>0</v>
      </c>
      <c r="T80" s="22">
        <f t="shared" si="50"/>
        <v>0</v>
      </c>
      <c r="U80" s="22">
        <f t="shared" si="50"/>
        <v>0</v>
      </c>
      <c r="V80" s="22">
        <f t="shared" ref="V80:X80" si="51">10*V19*1.1^V19*(1.44-0.004*V12)*$E$2</f>
        <v>0</v>
      </c>
      <c r="W80" s="22">
        <f t="shared" si="51"/>
        <v>0</v>
      </c>
      <c r="X80" s="22">
        <f t="shared" si="51"/>
        <v>0</v>
      </c>
      <c r="Y80" s="22">
        <f t="shared" si="49"/>
        <v>507703.3028909507</v>
      </c>
      <c r="Z80" s="42" t="s">
        <v>194</v>
      </c>
    </row>
    <row r="81" spans="2:26" ht="15" customHeight="1" outlineLevel="1" x14ac:dyDescent="0.3">
      <c r="B81" s="35" t="s">
        <v>186</v>
      </c>
      <c r="C81" s="9" t="s">
        <v>62</v>
      </c>
      <c r="D81" s="9" t="s">
        <v>66</v>
      </c>
      <c r="E81" s="22">
        <f t="shared" ref="E81:U81" si="52">ROUNDUP((10 * E20 * 1.1^E20)*$E$2,0)</f>
        <v>23640</v>
      </c>
      <c r="F81" s="22">
        <f t="shared" si="52"/>
        <v>0</v>
      </c>
      <c r="G81" s="22">
        <f t="shared" si="52"/>
        <v>0</v>
      </c>
      <c r="H81" s="22">
        <f t="shared" si="52"/>
        <v>0</v>
      </c>
      <c r="I81" s="22">
        <f t="shared" si="52"/>
        <v>0</v>
      </c>
      <c r="J81" s="22">
        <f t="shared" si="52"/>
        <v>0</v>
      </c>
      <c r="K81" s="22">
        <f t="shared" si="52"/>
        <v>0</v>
      </c>
      <c r="L81" s="22">
        <f t="shared" si="52"/>
        <v>0</v>
      </c>
      <c r="M81" s="22">
        <f t="shared" si="52"/>
        <v>0</v>
      </c>
      <c r="N81" s="22">
        <f t="shared" si="52"/>
        <v>0</v>
      </c>
      <c r="O81" s="22">
        <f t="shared" si="52"/>
        <v>0</v>
      </c>
      <c r="P81" s="22">
        <f t="shared" si="52"/>
        <v>0</v>
      </c>
      <c r="Q81" s="22">
        <f t="shared" si="52"/>
        <v>0</v>
      </c>
      <c r="R81" s="22">
        <f t="shared" si="52"/>
        <v>0</v>
      </c>
      <c r="S81" s="22">
        <f t="shared" si="52"/>
        <v>0</v>
      </c>
      <c r="T81" s="22">
        <f t="shared" si="52"/>
        <v>0</v>
      </c>
      <c r="U81" s="22">
        <f t="shared" si="52"/>
        <v>0</v>
      </c>
      <c r="V81" s="22">
        <f t="shared" ref="V81:X81" si="53">ROUNDUP((10 * V20 * 1.1^V20)*$E$2,0)</f>
        <v>0</v>
      </c>
      <c r="W81" s="22">
        <f t="shared" si="53"/>
        <v>0</v>
      </c>
      <c r="X81" s="22">
        <f t="shared" si="53"/>
        <v>0</v>
      </c>
      <c r="Y81" s="22">
        <f t="shared" si="49"/>
        <v>23640</v>
      </c>
      <c r="Z81" s="42" t="s">
        <v>194</v>
      </c>
    </row>
    <row r="82" spans="2:26" ht="15" customHeight="1" outlineLevel="1" x14ac:dyDescent="0.3">
      <c r="B82" s="35" t="s">
        <v>186</v>
      </c>
      <c r="C82" s="9" t="s">
        <v>67</v>
      </c>
      <c r="D82" s="9" t="s">
        <v>152</v>
      </c>
      <c r="E82" s="22">
        <f t="shared" ref="E82:U82" si="54">IF(E13="Rocta",E78*E21*0.02,0)</f>
        <v>642642.15659099526</v>
      </c>
      <c r="F82" s="22">
        <f t="shared" si="54"/>
        <v>0</v>
      </c>
      <c r="G82" s="22">
        <f t="shared" si="54"/>
        <v>0</v>
      </c>
      <c r="H82" s="22">
        <f t="shared" si="54"/>
        <v>0</v>
      </c>
      <c r="I82" s="22">
        <f t="shared" si="54"/>
        <v>0</v>
      </c>
      <c r="J82" s="22">
        <f t="shared" si="54"/>
        <v>0</v>
      </c>
      <c r="K82" s="22">
        <f t="shared" si="54"/>
        <v>0</v>
      </c>
      <c r="L82" s="22">
        <f t="shared" si="54"/>
        <v>0</v>
      </c>
      <c r="M82" s="22">
        <f t="shared" si="54"/>
        <v>0</v>
      </c>
      <c r="N82" s="22">
        <f t="shared" si="54"/>
        <v>0</v>
      </c>
      <c r="O82" s="22">
        <f t="shared" si="54"/>
        <v>0</v>
      </c>
      <c r="P82" s="22">
        <f t="shared" si="54"/>
        <v>0</v>
      </c>
      <c r="Q82" s="22">
        <f t="shared" si="54"/>
        <v>0</v>
      </c>
      <c r="R82" s="22">
        <f t="shared" si="54"/>
        <v>0</v>
      </c>
      <c r="S82" s="22">
        <f t="shared" si="54"/>
        <v>0</v>
      </c>
      <c r="T82" s="22">
        <f t="shared" si="54"/>
        <v>0</v>
      </c>
      <c r="U82" s="22">
        <f t="shared" si="54"/>
        <v>0</v>
      </c>
      <c r="V82" s="22">
        <f t="shared" ref="V82:X82" si="55">IF(V13="Rocta",V78*V21*0.02,0)</f>
        <v>0</v>
      </c>
      <c r="W82" s="22">
        <f t="shared" si="55"/>
        <v>0</v>
      </c>
      <c r="X82" s="22">
        <f t="shared" si="55"/>
        <v>0</v>
      </c>
      <c r="Y82" s="22">
        <f>SUM(E82:X82)</f>
        <v>642642.15659099526</v>
      </c>
      <c r="Z82" s="42" t="s">
        <v>192</v>
      </c>
    </row>
    <row r="83" spans="2:26" ht="15" customHeight="1" outlineLevel="1" x14ac:dyDescent="0.3">
      <c r="B83" s="35" t="s">
        <v>186</v>
      </c>
      <c r="C83" s="9" t="s">
        <v>67</v>
      </c>
      <c r="D83" s="9" t="s">
        <v>153</v>
      </c>
      <c r="E83" s="22">
        <f t="shared" ref="E83:U83" si="56">IF(E13="Rocta",E79*E22*0.02,0)</f>
        <v>83441.60935660098</v>
      </c>
      <c r="F83" s="22">
        <f t="shared" si="56"/>
        <v>0</v>
      </c>
      <c r="G83" s="22">
        <f t="shared" si="56"/>
        <v>0</v>
      </c>
      <c r="H83" s="22">
        <f t="shared" si="56"/>
        <v>0</v>
      </c>
      <c r="I83" s="22">
        <f t="shared" si="56"/>
        <v>0</v>
      </c>
      <c r="J83" s="22">
        <f t="shared" si="56"/>
        <v>0</v>
      </c>
      <c r="K83" s="22">
        <f t="shared" si="56"/>
        <v>0</v>
      </c>
      <c r="L83" s="22">
        <f t="shared" si="56"/>
        <v>0</v>
      </c>
      <c r="M83" s="22">
        <f t="shared" si="56"/>
        <v>0</v>
      </c>
      <c r="N83" s="22">
        <f t="shared" si="56"/>
        <v>0</v>
      </c>
      <c r="O83" s="22">
        <f t="shared" si="56"/>
        <v>0</v>
      </c>
      <c r="P83" s="22">
        <f t="shared" si="56"/>
        <v>0</v>
      </c>
      <c r="Q83" s="22">
        <f t="shared" si="56"/>
        <v>0</v>
      </c>
      <c r="R83" s="22">
        <f t="shared" si="56"/>
        <v>0</v>
      </c>
      <c r="S83" s="22">
        <f t="shared" si="56"/>
        <v>0</v>
      </c>
      <c r="T83" s="22">
        <f t="shared" si="56"/>
        <v>0</v>
      </c>
      <c r="U83" s="22">
        <f t="shared" si="56"/>
        <v>0</v>
      </c>
      <c r="V83" s="22">
        <f t="shared" ref="V83:X83" si="57">IF(V13="Rocta",V79*V22*0.02,0)</f>
        <v>0</v>
      </c>
      <c r="W83" s="22">
        <f t="shared" si="57"/>
        <v>0</v>
      </c>
      <c r="X83" s="22">
        <f t="shared" si="57"/>
        <v>0</v>
      </c>
      <c r="Y83" s="22">
        <f t="shared" si="49"/>
        <v>83441.60935660098</v>
      </c>
      <c r="Z83" s="42" t="s">
        <v>193</v>
      </c>
    </row>
    <row r="84" spans="2:26" ht="15" customHeight="1" outlineLevel="1" x14ac:dyDescent="0.3">
      <c r="B84" s="35" t="s">
        <v>186</v>
      </c>
      <c r="C84" s="9" t="s">
        <v>67</v>
      </c>
      <c r="D84" s="9" t="s">
        <v>154</v>
      </c>
      <c r="E84" s="22">
        <f t="shared" ref="E84:U84" si="58">IF(E13="Rocta",E80*E23*0.02,0)</f>
        <v>172619.12298292323</v>
      </c>
      <c r="F84" s="22">
        <f t="shared" si="58"/>
        <v>0</v>
      </c>
      <c r="G84" s="22">
        <f t="shared" si="58"/>
        <v>0</v>
      </c>
      <c r="H84" s="22">
        <f t="shared" si="58"/>
        <v>0</v>
      </c>
      <c r="I84" s="22">
        <f t="shared" si="58"/>
        <v>0</v>
      </c>
      <c r="J84" s="22">
        <f t="shared" si="58"/>
        <v>0</v>
      </c>
      <c r="K84" s="22">
        <f t="shared" si="58"/>
        <v>0</v>
      </c>
      <c r="L84" s="22">
        <f t="shared" si="58"/>
        <v>0</v>
      </c>
      <c r="M84" s="22">
        <f t="shared" si="58"/>
        <v>0</v>
      </c>
      <c r="N84" s="22">
        <f t="shared" si="58"/>
        <v>0</v>
      </c>
      <c r="O84" s="22">
        <f t="shared" si="58"/>
        <v>0</v>
      </c>
      <c r="P84" s="22">
        <f t="shared" si="58"/>
        <v>0</v>
      </c>
      <c r="Q84" s="22">
        <f t="shared" si="58"/>
        <v>0</v>
      </c>
      <c r="R84" s="22">
        <f t="shared" si="58"/>
        <v>0</v>
      </c>
      <c r="S84" s="22">
        <f t="shared" si="58"/>
        <v>0</v>
      </c>
      <c r="T84" s="22">
        <f t="shared" si="58"/>
        <v>0</v>
      </c>
      <c r="U84" s="22">
        <f t="shared" si="58"/>
        <v>0</v>
      </c>
      <c r="V84" s="22">
        <f t="shared" ref="V84:X84" si="59">IF(V13="Rocta",V80*V23*0.02,0)</f>
        <v>0</v>
      </c>
      <c r="W84" s="22">
        <f t="shared" si="59"/>
        <v>0</v>
      </c>
      <c r="X84" s="22">
        <f t="shared" si="59"/>
        <v>0</v>
      </c>
      <c r="Y84" s="22">
        <f t="shared" si="49"/>
        <v>172619.12298292323</v>
      </c>
      <c r="Z84" s="42" t="s">
        <v>194</v>
      </c>
    </row>
    <row r="85" spans="2:26" ht="15" customHeight="1" outlineLevel="1" x14ac:dyDescent="0.3">
      <c r="B85" s="35" t="s">
        <v>186</v>
      </c>
      <c r="C85" s="9" t="s">
        <v>67</v>
      </c>
      <c r="D85" s="9" t="s">
        <v>155</v>
      </c>
      <c r="E85" s="22">
        <f t="shared" ref="E85:U85" si="60">IF(E13="Humains",E78*E24*0.015,0)</f>
        <v>0</v>
      </c>
      <c r="F85" s="22">
        <f t="shared" si="60"/>
        <v>0</v>
      </c>
      <c r="G85" s="22">
        <f t="shared" si="60"/>
        <v>0</v>
      </c>
      <c r="H85" s="22">
        <f t="shared" si="60"/>
        <v>0</v>
      </c>
      <c r="I85" s="22">
        <f t="shared" si="60"/>
        <v>0</v>
      </c>
      <c r="J85" s="22">
        <f t="shared" si="60"/>
        <v>0</v>
      </c>
      <c r="K85" s="22">
        <f t="shared" si="60"/>
        <v>0</v>
      </c>
      <c r="L85" s="22">
        <f t="shared" si="60"/>
        <v>0</v>
      </c>
      <c r="M85" s="22">
        <f t="shared" si="60"/>
        <v>0</v>
      </c>
      <c r="N85" s="22">
        <f t="shared" si="60"/>
        <v>0</v>
      </c>
      <c r="O85" s="22">
        <f t="shared" si="60"/>
        <v>0</v>
      </c>
      <c r="P85" s="22">
        <f t="shared" si="60"/>
        <v>0</v>
      </c>
      <c r="Q85" s="22">
        <f t="shared" si="60"/>
        <v>0</v>
      </c>
      <c r="R85" s="22">
        <f t="shared" si="60"/>
        <v>0</v>
      </c>
      <c r="S85" s="22">
        <f t="shared" si="60"/>
        <v>0</v>
      </c>
      <c r="T85" s="22">
        <f t="shared" si="60"/>
        <v>0</v>
      </c>
      <c r="U85" s="22">
        <f t="shared" si="60"/>
        <v>0</v>
      </c>
      <c r="V85" s="22">
        <f t="shared" ref="V85:X85" si="61">IF(V13="Humains",V78*V24*0.015,0)</f>
        <v>0</v>
      </c>
      <c r="W85" s="22">
        <f t="shared" si="61"/>
        <v>0</v>
      </c>
      <c r="X85" s="22">
        <f t="shared" si="61"/>
        <v>0</v>
      </c>
      <c r="Y85" s="22">
        <f t="shared" si="49"/>
        <v>0</v>
      </c>
      <c r="Z85" s="42" t="s">
        <v>192</v>
      </c>
    </row>
    <row r="86" spans="2:26" ht="15" customHeight="1" outlineLevel="1" x14ac:dyDescent="0.3">
      <c r="B86" s="35" t="s">
        <v>186</v>
      </c>
      <c r="C86" s="9" t="s">
        <v>67</v>
      </c>
      <c r="D86" s="9" t="s">
        <v>156</v>
      </c>
      <c r="E86" s="22">
        <f t="shared" ref="E86:U86" si="62">IF(E13="Humains",E79*E25*0.015,0)</f>
        <v>0</v>
      </c>
      <c r="F86" s="22">
        <f t="shared" si="62"/>
        <v>0</v>
      </c>
      <c r="G86" s="22">
        <f t="shared" si="62"/>
        <v>0</v>
      </c>
      <c r="H86" s="22">
        <f t="shared" si="62"/>
        <v>0</v>
      </c>
      <c r="I86" s="22">
        <f t="shared" si="62"/>
        <v>0</v>
      </c>
      <c r="J86" s="22">
        <f t="shared" si="62"/>
        <v>0</v>
      </c>
      <c r="K86" s="22">
        <f t="shared" si="62"/>
        <v>0</v>
      </c>
      <c r="L86" s="22">
        <f t="shared" si="62"/>
        <v>0</v>
      </c>
      <c r="M86" s="22">
        <f t="shared" si="62"/>
        <v>0</v>
      </c>
      <c r="N86" s="22">
        <f t="shared" si="62"/>
        <v>0</v>
      </c>
      <c r="O86" s="22">
        <f t="shared" si="62"/>
        <v>0</v>
      </c>
      <c r="P86" s="22">
        <f t="shared" si="62"/>
        <v>0</v>
      </c>
      <c r="Q86" s="22">
        <f t="shared" si="62"/>
        <v>0</v>
      </c>
      <c r="R86" s="22">
        <f t="shared" si="62"/>
        <v>0</v>
      </c>
      <c r="S86" s="22">
        <f t="shared" si="62"/>
        <v>0</v>
      </c>
      <c r="T86" s="22">
        <f t="shared" si="62"/>
        <v>0</v>
      </c>
      <c r="U86" s="22">
        <f t="shared" si="62"/>
        <v>0</v>
      </c>
      <c r="V86" s="22">
        <f t="shared" ref="V86:X86" si="63">IF(V13="Humains",V79*V25*0.015,0)</f>
        <v>0</v>
      </c>
      <c r="W86" s="22">
        <f t="shared" si="63"/>
        <v>0</v>
      </c>
      <c r="X86" s="22">
        <f t="shared" si="63"/>
        <v>0</v>
      </c>
      <c r="Y86" s="22">
        <f t="shared" si="49"/>
        <v>0</v>
      </c>
      <c r="Z86" s="42" t="s">
        <v>193</v>
      </c>
    </row>
    <row r="87" spans="2:26" ht="15" customHeight="1" outlineLevel="1" x14ac:dyDescent="0.3">
      <c r="B87" s="35" t="s">
        <v>186</v>
      </c>
      <c r="C87" s="9" t="s">
        <v>67</v>
      </c>
      <c r="D87" s="9" t="s">
        <v>157</v>
      </c>
      <c r="E87" s="22">
        <f t="shared" ref="E87:U87" si="64">IF(E13="Humains",E80*E26*0.01,0)</f>
        <v>0</v>
      </c>
      <c r="F87" s="22">
        <f t="shared" si="64"/>
        <v>0</v>
      </c>
      <c r="G87" s="22">
        <f t="shared" si="64"/>
        <v>0</v>
      </c>
      <c r="H87" s="22">
        <f t="shared" si="64"/>
        <v>0</v>
      </c>
      <c r="I87" s="22">
        <f t="shared" si="64"/>
        <v>0</v>
      </c>
      <c r="J87" s="22">
        <f t="shared" si="64"/>
        <v>0</v>
      </c>
      <c r="K87" s="22">
        <f t="shared" si="64"/>
        <v>0</v>
      </c>
      <c r="L87" s="22">
        <f t="shared" si="64"/>
        <v>0</v>
      </c>
      <c r="M87" s="22">
        <f t="shared" si="64"/>
        <v>0</v>
      </c>
      <c r="N87" s="22">
        <f t="shared" si="64"/>
        <v>0</v>
      </c>
      <c r="O87" s="22">
        <f t="shared" si="64"/>
        <v>0</v>
      </c>
      <c r="P87" s="22">
        <f t="shared" si="64"/>
        <v>0</v>
      </c>
      <c r="Q87" s="22">
        <f t="shared" si="64"/>
        <v>0</v>
      </c>
      <c r="R87" s="22">
        <f t="shared" si="64"/>
        <v>0</v>
      </c>
      <c r="S87" s="22">
        <f t="shared" si="64"/>
        <v>0</v>
      </c>
      <c r="T87" s="22">
        <f t="shared" si="64"/>
        <v>0</v>
      </c>
      <c r="U87" s="22">
        <f t="shared" si="64"/>
        <v>0</v>
      </c>
      <c r="V87" s="22">
        <f t="shared" ref="V87:X87" si="65">IF(V13="Humains",V80*V26*0.01,0)</f>
        <v>0</v>
      </c>
      <c r="W87" s="22">
        <f t="shared" si="65"/>
        <v>0</v>
      </c>
      <c r="X87" s="22">
        <f t="shared" si="65"/>
        <v>0</v>
      </c>
      <c r="Y87" s="22">
        <f t="shared" si="49"/>
        <v>0</v>
      </c>
      <c r="Z87" s="42" t="s">
        <v>194</v>
      </c>
    </row>
    <row r="88" spans="2:26" ht="15" customHeight="1" outlineLevel="1" x14ac:dyDescent="0.3">
      <c r="B88" s="35" t="s">
        <v>186</v>
      </c>
      <c r="C88" s="9" t="s">
        <v>67</v>
      </c>
      <c r="D88" s="9" t="s">
        <v>154</v>
      </c>
      <c r="E88" s="22">
        <f t="shared" ref="E88:U88" si="66">IF(E13="Méca",E80*E27*0.02,0)</f>
        <v>0</v>
      </c>
      <c r="F88" s="22">
        <f t="shared" si="66"/>
        <v>0</v>
      </c>
      <c r="G88" s="22">
        <f t="shared" si="66"/>
        <v>0</v>
      </c>
      <c r="H88" s="22">
        <f t="shared" si="66"/>
        <v>0</v>
      </c>
      <c r="I88" s="22">
        <f t="shared" si="66"/>
        <v>0</v>
      </c>
      <c r="J88" s="22">
        <f t="shared" si="66"/>
        <v>0</v>
      </c>
      <c r="K88" s="22">
        <f t="shared" si="66"/>
        <v>0</v>
      </c>
      <c r="L88" s="22">
        <f t="shared" si="66"/>
        <v>0</v>
      </c>
      <c r="M88" s="22">
        <f t="shared" si="66"/>
        <v>0</v>
      </c>
      <c r="N88" s="22">
        <f t="shared" si="66"/>
        <v>0</v>
      </c>
      <c r="O88" s="22">
        <f t="shared" si="66"/>
        <v>0</v>
      </c>
      <c r="P88" s="22">
        <f t="shared" si="66"/>
        <v>0</v>
      </c>
      <c r="Q88" s="22">
        <f t="shared" si="66"/>
        <v>0</v>
      </c>
      <c r="R88" s="22">
        <f t="shared" si="66"/>
        <v>0</v>
      </c>
      <c r="S88" s="22">
        <f t="shared" si="66"/>
        <v>0</v>
      </c>
      <c r="T88" s="22">
        <f t="shared" si="66"/>
        <v>0</v>
      </c>
      <c r="U88" s="22">
        <f t="shared" si="66"/>
        <v>0</v>
      </c>
      <c r="V88" s="22">
        <f t="shared" ref="V88:X88" si="67">IF(V13="Méca",V80*V27*0.02,0)</f>
        <v>0</v>
      </c>
      <c r="W88" s="22">
        <f t="shared" si="67"/>
        <v>0</v>
      </c>
      <c r="X88" s="22">
        <f t="shared" si="67"/>
        <v>0</v>
      </c>
      <c r="Y88" s="22">
        <f t="shared" si="49"/>
        <v>0</v>
      </c>
      <c r="Z88" s="42" t="s">
        <v>194</v>
      </c>
    </row>
    <row r="89" spans="2:26" ht="15" customHeight="1" outlineLevel="1" x14ac:dyDescent="0.3">
      <c r="B89" s="35" t="s">
        <v>186</v>
      </c>
      <c r="C89" s="9" t="s">
        <v>68</v>
      </c>
      <c r="D89" s="9" t="s">
        <v>69</v>
      </c>
      <c r="E89" s="22">
        <f t="shared" ref="E89:U89" si="68">IF(E3="Collecteur",E78*E14*0.02%*1.5,E78*E14*0.02%)</f>
        <v>290586.01863245002</v>
      </c>
      <c r="F89" s="22">
        <f t="shared" si="68"/>
        <v>0</v>
      </c>
      <c r="G89" s="22">
        <f t="shared" si="68"/>
        <v>0</v>
      </c>
      <c r="H89" s="22">
        <f t="shared" si="68"/>
        <v>0</v>
      </c>
      <c r="I89" s="22">
        <f t="shared" si="68"/>
        <v>0</v>
      </c>
      <c r="J89" s="22">
        <f t="shared" si="68"/>
        <v>0</v>
      </c>
      <c r="K89" s="22">
        <f t="shared" si="68"/>
        <v>0</v>
      </c>
      <c r="L89" s="22">
        <f t="shared" si="68"/>
        <v>0</v>
      </c>
      <c r="M89" s="22">
        <f t="shared" si="68"/>
        <v>0</v>
      </c>
      <c r="N89" s="22">
        <f t="shared" si="68"/>
        <v>0</v>
      </c>
      <c r="O89" s="22">
        <f t="shared" si="68"/>
        <v>0</v>
      </c>
      <c r="P89" s="22">
        <f t="shared" si="68"/>
        <v>0</v>
      </c>
      <c r="Q89" s="22">
        <f t="shared" si="68"/>
        <v>0</v>
      </c>
      <c r="R89" s="22">
        <f t="shared" si="68"/>
        <v>0</v>
      </c>
      <c r="S89" s="22">
        <f t="shared" si="68"/>
        <v>0</v>
      </c>
      <c r="T89" s="22">
        <f t="shared" si="68"/>
        <v>0</v>
      </c>
      <c r="U89" s="22">
        <f t="shared" si="68"/>
        <v>0</v>
      </c>
      <c r="V89" s="22">
        <f t="shared" ref="V89:X89" si="69">IF(V3="Collecteur",V78*V14*0.02%*1.5,V78*V14*0.02%)</f>
        <v>0</v>
      </c>
      <c r="W89" s="22">
        <f t="shared" si="69"/>
        <v>0</v>
      </c>
      <c r="X89" s="22">
        <f t="shared" si="69"/>
        <v>0</v>
      </c>
      <c r="Y89" s="22">
        <f t="shared" si="49"/>
        <v>290586.01863245002</v>
      </c>
      <c r="Z89" s="42" t="s">
        <v>192</v>
      </c>
    </row>
    <row r="90" spans="2:26" ht="15" customHeight="1" outlineLevel="1" x14ac:dyDescent="0.3">
      <c r="B90" s="35" t="s">
        <v>186</v>
      </c>
      <c r="C90" s="9" t="s">
        <v>68</v>
      </c>
      <c r="D90" s="9" t="s">
        <v>70</v>
      </c>
      <c r="E90" s="22">
        <f t="shared" ref="E90:U90" si="70">IF(E3="Collecteur",E79*E14*0.02%*1.5,E79*E14*0.02%)</f>
        <v>66753.287485280787</v>
      </c>
      <c r="F90" s="22">
        <f t="shared" si="70"/>
        <v>0</v>
      </c>
      <c r="G90" s="22">
        <f t="shared" si="70"/>
        <v>0</v>
      </c>
      <c r="H90" s="22">
        <f t="shared" si="70"/>
        <v>0</v>
      </c>
      <c r="I90" s="22">
        <f t="shared" si="70"/>
        <v>0</v>
      </c>
      <c r="J90" s="22">
        <f t="shared" si="70"/>
        <v>0</v>
      </c>
      <c r="K90" s="22">
        <f t="shared" si="70"/>
        <v>0</v>
      </c>
      <c r="L90" s="22">
        <f t="shared" si="70"/>
        <v>0</v>
      </c>
      <c r="M90" s="22">
        <f t="shared" si="70"/>
        <v>0</v>
      </c>
      <c r="N90" s="22">
        <f t="shared" si="70"/>
        <v>0</v>
      </c>
      <c r="O90" s="22">
        <f t="shared" si="70"/>
        <v>0</v>
      </c>
      <c r="P90" s="22">
        <f t="shared" si="70"/>
        <v>0</v>
      </c>
      <c r="Q90" s="22">
        <f t="shared" si="70"/>
        <v>0</v>
      </c>
      <c r="R90" s="22">
        <f t="shared" si="70"/>
        <v>0</v>
      </c>
      <c r="S90" s="22">
        <f t="shared" si="70"/>
        <v>0</v>
      </c>
      <c r="T90" s="22">
        <f t="shared" si="70"/>
        <v>0</v>
      </c>
      <c r="U90" s="22">
        <f t="shared" si="70"/>
        <v>0</v>
      </c>
      <c r="V90" s="22">
        <f t="shared" ref="V90:X90" si="71">IF(V3="Collecteur",V79*V14*0.02%*1.5,V79*V14*0.02%)</f>
        <v>0</v>
      </c>
      <c r="W90" s="22">
        <f t="shared" si="71"/>
        <v>0</v>
      </c>
      <c r="X90" s="22">
        <f t="shared" si="71"/>
        <v>0</v>
      </c>
      <c r="Y90" s="22">
        <f t="shared" si="49"/>
        <v>66753.287485280787</v>
      </c>
      <c r="Z90" s="42" t="s">
        <v>193</v>
      </c>
    </row>
    <row r="91" spans="2:26" ht="15" customHeight="1" outlineLevel="1" x14ac:dyDescent="0.3">
      <c r="B91" s="35" t="s">
        <v>186</v>
      </c>
      <c r="C91" s="9" t="s">
        <v>68</v>
      </c>
      <c r="D91" s="9" t="s">
        <v>71</v>
      </c>
      <c r="E91" s="22">
        <f t="shared" ref="E91:U91" si="72">IF(E3="Collecteur",E80*E14*0.02%*1.5,E80*E14*0.02%)</f>
        <v>105602.28700131775</v>
      </c>
      <c r="F91" s="22">
        <f t="shared" si="72"/>
        <v>0</v>
      </c>
      <c r="G91" s="22">
        <f t="shared" si="72"/>
        <v>0</v>
      </c>
      <c r="H91" s="22">
        <f t="shared" si="72"/>
        <v>0</v>
      </c>
      <c r="I91" s="22">
        <f t="shared" si="72"/>
        <v>0</v>
      </c>
      <c r="J91" s="22">
        <f t="shared" si="72"/>
        <v>0</v>
      </c>
      <c r="K91" s="22">
        <f t="shared" si="72"/>
        <v>0</v>
      </c>
      <c r="L91" s="22">
        <f t="shared" si="72"/>
        <v>0</v>
      </c>
      <c r="M91" s="22">
        <f t="shared" si="72"/>
        <v>0</v>
      </c>
      <c r="N91" s="22">
        <f t="shared" si="72"/>
        <v>0</v>
      </c>
      <c r="O91" s="22">
        <f t="shared" si="72"/>
        <v>0</v>
      </c>
      <c r="P91" s="22">
        <f t="shared" si="72"/>
        <v>0</v>
      </c>
      <c r="Q91" s="22">
        <f t="shared" si="72"/>
        <v>0</v>
      </c>
      <c r="R91" s="22">
        <f t="shared" si="72"/>
        <v>0</v>
      </c>
      <c r="S91" s="22">
        <f t="shared" si="72"/>
        <v>0</v>
      </c>
      <c r="T91" s="22">
        <f t="shared" si="72"/>
        <v>0</v>
      </c>
      <c r="U91" s="22">
        <f t="shared" si="72"/>
        <v>0</v>
      </c>
      <c r="V91" s="22">
        <f t="shared" ref="V91:X91" si="73">IF(V3="Collecteur",V80*V14*0.02%*1.5,V80*V14*0.02%)</f>
        <v>0</v>
      </c>
      <c r="W91" s="22">
        <f t="shared" si="73"/>
        <v>0</v>
      </c>
      <c r="X91" s="22">
        <f t="shared" si="73"/>
        <v>0</v>
      </c>
      <c r="Y91" s="22">
        <f t="shared" si="49"/>
        <v>105602.28700131775</v>
      </c>
      <c r="Z91" s="42" t="s">
        <v>194</v>
      </c>
    </row>
    <row r="92" spans="2:26" ht="15" customHeight="1" outlineLevel="1" x14ac:dyDescent="0.3">
      <c r="B92" s="35" t="s">
        <v>186</v>
      </c>
      <c r="C92" s="9" t="s">
        <v>72</v>
      </c>
      <c r="D92" s="9" t="s">
        <v>73</v>
      </c>
      <c r="E92" s="22">
        <f t="shared" ref="E92:U92" si="74">E29*E78*1%</f>
        <v>321321.07829549763</v>
      </c>
      <c r="F92" s="22">
        <f t="shared" si="74"/>
        <v>0</v>
      </c>
      <c r="G92" s="22">
        <f t="shared" si="74"/>
        <v>0</v>
      </c>
      <c r="H92" s="22">
        <f t="shared" si="74"/>
        <v>0</v>
      </c>
      <c r="I92" s="22">
        <f t="shared" si="74"/>
        <v>0</v>
      </c>
      <c r="J92" s="22">
        <f t="shared" si="74"/>
        <v>0</v>
      </c>
      <c r="K92" s="22">
        <f t="shared" si="74"/>
        <v>0</v>
      </c>
      <c r="L92" s="22">
        <f t="shared" si="74"/>
        <v>0</v>
      </c>
      <c r="M92" s="22">
        <f t="shared" si="74"/>
        <v>0</v>
      </c>
      <c r="N92" s="22">
        <f t="shared" si="74"/>
        <v>0</v>
      </c>
      <c r="O92" s="22">
        <f t="shared" si="74"/>
        <v>0</v>
      </c>
      <c r="P92" s="22">
        <f t="shared" si="74"/>
        <v>0</v>
      </c>
      <c r="Q92" s="22">
        <f t="shared" si="74"/>
        <v>0</v>
      </c>
      <c r="R92" s="22">
        <f t="shared" si="74"/>
        <v>0</v>
      </c>
      <c r="S92" s="22">
        <f t="shared" si="74"/>
        <v>0</v>
      </c>
      <c r="T92" s="22">
        <f t="shared" si="74"/>
        <v>0</v>
      </c>
      <c r="U92" s="22">
        <f t="shared" si="74"/>
        <v>0</v>
      </c>
      <c r="V92" s="22">
        <f t="shared" ref="V92:X92" si="75">V29*V78*1%</f>
        <v>0</v>
      </c>
      <c r="W92" s="22">
        <f t="shared" si="75"/>
        <v>0</v>
      </c>
      <c r="X92" s="22">
        <f t="shared" si="75"/>
        <v>0</v>
      </c>
      <c r="Y92" s="22">
        <f t="shared" si="49"/>
        <v>321321.07829549763</v>
      </c>
      <c r="Z92" s="42" t="s">
        <v>192</v>
      </c>
    </row>
    <row r="93" spans="2:26" ht="15" customHeight="1" outlineLevel="1" x14ac:dyDescent="0.3">
      <c r="B93" s="35" t="s">
        <v>186</v>
      </c>
      <c r="C93" s="9" t="s">
        <v>72</v>
      </c>
      <c r="D93" s="9" t="s">
        <v>74</v>
      </c>
      <c r="E93" s="22">
        <f t="shared" ref="E93:U93" si="76">E29*E79*0.66%</f>
        <v>48717.062693584725</v>
      </c>
      <c r="F93" s="22">
        <f t="shared" si="76"/>
        <v>0</v>
      </c>
      <c r="G93" s="22">
        <f t="shared" si="76"/>
        <v>0</v>
      </c>
      <c r="H93" s="22">
        <f t="shared" si="76"/>
        <v>0</v>
      </c>
      <c r="I93" s="22">
        <f t="shared" si="76"/>
        <v>0</v>
      </c>
      <c r="J93" s="22">
        <f t="shared" si="76"/>
        <v>0</v>
      </c>
      <c r="K93" s="22">
        <f t="shared" si="76"/>
        <v>0</v>
      </c>
      <c r="L93" s="22">
        <f t="shared" si="76"/>
        <v>0</v>
      </c>
      <c r="M93" s="22">
        <f t="shared" si="76"/>
        <v>0</v>
      </c>
      <c r="N93" s="22">
        <f t="shared" si="76"/>
        <v>0</v>
      </c>
      <c r="O93" s="22">
        <f t="shared" si="76"/>
        <v>0</v>
      </c>
      <c r="P93" s="22">
        <f t="shared" si="76"/>
        <v>0</v>
      </c>
      <c r="Q93" s="22">
        <f t="shared" si="76"/>
        <v>0</v>
      </c>
      <c r="R93" s="22">
        <f t="shared" si="76"/>
        <v>0</v>
      </c>
      <c r="S93" s="22">
        <f t="shared" si="76"/>
        <v>0</v>
      </c>
      <c r="T93" s="22">
        <f t="shared" si="76"/>
        <v>0</v>
      </c>
      <c r="U93" s="22">
        <f t="shared" si="76"/>
        <v>0</v>
      </c>
      <c r="V93" s="22">
        <f t="shared" ref="V93:X93" si="77">V29*V79*0.66%</f>
        <v>0</v>
      </c>
      <c r="W93" s="22">
        <f t="shared" si="77"/>
        <v>0</v>
      </c>
      <c r="X93" s="22">
        <f t="shared" si="77"/>
        <v>0</v>
      </c>
      <c r="Y93" s="22">
        <f t="shared" si="49"/>
        <v>48717.062693584725</v>
      </c>
      <c r="Z93" s="42" t="s">
        <v>193</v>
      </c>
    </row>
    <row r="94" spans="2:26" ht="15" customHeight="1" outlineLevel="1" x14ac:dyDescent="0.3">
      <c r="B94" s="35" t="s">
        <v>186</v>
      </c>
      <c r="C94" s="9" t="s">
        <v>72</v>
      </c>
      <c r="D94" s="9" t="s">
        <v>75</v>
      </c>
      <c r="E94" s="22">
        <f t="shared" ref="E94:U94" si="78">E29*E80*0.33%</f>
        <v>38534.680689423163</v>
      </c>
      <c r="F94" s="22">
        <f t="shared" si="78"/>
        <v>0</v>
      </c>
      <c r="G94" s="22">
        <f t="shared" si="78"/>
        <v>0</v>
      </c>
      <c r="H94" s="22">
        <f t="shared" si="78"/>
        <v>0</v>
      </c>
      <c r="I94" s="22">
        <f t="shared" si="78"/>
        <v>0</v>
      </c>
      <c r="J94" s="22">
        <f t="shared" si="78"/>
        <v>0</v>
      </c>
      <c r="K94" s="22">
        <f t="shared" si="78"/>
        <v>0</v>
      </c>
      <c r="L94" s="22">
        <f t="shared" si="78"/>
        <v>0</v>
      </c>
      <c r="M94" s="22">
        <f t="shared" si="78"/>
        <v>0</v>
      </c>
      <c r="N94" s="22">
        <f t="shared" si="78"/>
        <v>0</v>
      </c>
      <c r="O94" s="22">
        <f t="shared" si="78"/>
        <v>0</v>
      </c>
      <c r="P94" s="22">
        <f t="shared" si="78"/>
        <v>0</v>
      </c>
      <c r="Q94" s="22">
        <f t="shared" si="78"/>
        <v>0</v>
      </c>
      <c r="R94" s="22">
        <f t="shared" si="78"/>
        <v>0</v>
      </c>
      <c r="S94" s="22">
        <f t="shared" si="78"/>
        <v>0</v>
      </c>
      <c r="T94" s="22">
        <f t="shared" si="78"/>
        <v>0</v>
      </c>
      <c r="U94" s="22">
        <f t="shared" si="78"/>
        <v>0</v>
      </c>
      <c r="V94" s="22">
        <f t="shared" ref="V94:X94" si="79">V29*V80*0.33%</f>
        <v>0</v>
      </c>
      <c r="W94" s="22">
        <f t="shared" si="79"/>
        <v>0</v>
      </c>
      <c r="X94" s="22">
        <f t="shared" si="79"/>
        <v>0</v>
      </c>
      <c r="Y94" s="22">
        <f t="shared" si="49"/>
        <v>38534.680689423163</v>
      </c>
      <c r="Z94" s="42" t="s">
        <v>194</v>
      </c>
    </row>
    <row r="95" spans="2:26" ht="15" customHeight="1" outlineLevel="1" x14ac:dyDescent="0.3">
      <c r="B95" s="35" t="s">
        <v>186</v>
      </c>
      <c r="C95" s="9" t="s">
        <v>76</v>
      </c>
      <c r="D95" s="9" t="s">
        <v>77</v>
      </c>
      <c r="E95" s="22">
        <f t="shared" ref="E95:U95" si="80">E78*E31</f>
        <v>0</v>
      </c>
      <c r="F95" s="22">
        <f t="shared" si="80"/>
        <v>0</v>
      </c>
      <c r="G95" s="22">
        <f t="shared" si="80"/>
        <v>0</v>
      </c>
      <c r="H95" s="22">
        <f t="shared" si="80"/>
        <v>0</v>
      </c>
      <c r="I95" s="22">
        <f t="shared" si="80"/>
        <v>0</v>
      </c>
      <c r="J95" s="22">
        <f t="shared" si="80"/>
        <v>0</v>
      </c>
      <c r="K95" s="22">
        <f t="shared" si="80"/>
        <v>0</v>
      </c>
      <c r="L95" s="22">
        <f t="shared" si="80"/>
        <v>0</v>
      </c>
      <c r="M95" s="22">
        <f t="shared" si="80"/>
        <v>0</v>
      </c>
      <c r="N95" s="22">
        <f t="shared" si="80"/>
        <v>0</v>
      </c>
      <c r="O95" s="22">
        <f t="shared" si="80"/>
        <v>0</v>
      </c>
      <c r="P95" s="22">
        <f t="shared" si="80"/>
        <v>0</v>
      </c>
      <c r="Q95" s="22">
        <f t="shared" si="80"/>
        <v>0</v>
      </c>
      <c r="R95" s="22">
        <f t="shared" si="80"/>
        <v>0</v>
      </c>
      <c r="S95" s="22">
        <f t="shared" si="80"/>
        <v>0</v>
      </c>
      <c r="T95" s="22">
        <f t="shared" si="80"/>
        <v>0</v>
      </c>
      <c r="U95" s="22">
        <f t="shared" si="80"/>
        <v>0</v>
      </c>
      <c r="V95" s="22">
        <f t="shared" ref="V95:X95" si="81">V78*V31</f>
        <v>0</v>
      </c>
      <c r="W95" s="22">
        <f t="shared" si="81"/>
        <v>0</v>
      </c>
      <c r="X95" s="22">
        <f t="shared" si="81"/>
        <v>0</v>
      </c>
      <c r="Y95" s="22">
        <f t="shared" si="49"/>
        <v>0</v>
      </c>
      <c r="Z95" s="42" t="s">
        <v>192</v>
      </c>
    </row>
    <row r="96" spans="2:26" ht="15" customHeight="1" outlineLevel="1" x14ac:dyDescent="0.3">
      <c r="B96" s="35" t="s">
        <v>186</v>
      </c>
      <c r="C96" s="9" t="s">
        <v>76</v>
      </c>
      <c r="D96" s="9" t="s">
        <v>78</v>
      </c>
      <c r="E96" s="22">
        <f t="shared" ref="E96:U96" si="82">E79*E32</f>
        <v>0</v>
      </c>
      <c r="F96" s="22">
        <f t="shared" si="82"/>
        <v>0</v>
      </c>
      <c r="G96" s="22">
        <f t="shared" si="82"/>
        <v>0</v>
      </c>
      <c r="H96" s="22">
        <f t="shared" si="82"/>
        <v>0</v>
      </c>
      <c r="I96" s="22">
        <f t="shared" si="82"/>
        <v>0</v>
      </c>
      <c r="J96" s="22">
        <f t="shared" si="82"/>
        <v>0</v>
      </c>
      <c r="K96" s="22">
        <f t="shared" si="82"/>
        <v>0</v>
      </c>
      <c r="L96" s="22">
        <f t="shared" si="82"/>
        <v>0</v>
      </c>
      <c r="M96" s="22">
        <f t="shared" si="82"/>
        <v>0</v>
      </c>
      <c r="N96" s="22">
        <f t="shared" si="82"/>
        <v>0</v>
      </c>
      <c r="O96" s="22">
        <f t="shared" si="82"/>
        <v>0</v>
      </c>
      <c r="P96" s="22">
        <f t="shared" si="82"/>
        <v>0</v>
      </c>
      <c r="Q96" s="22">
        <f t="shared" si="82"/>
        <v>0</v>
      </c>
      <c r="R96" s="22">
        <f t="shared" si="82"/>
        <v>0</v>
      </c>
      <c r="S96" s="22">
        <f t="shared" si="82"/>
        <v>0</v>
      </c>
      <c r="T96" s="22">
        <f t="shared" si="82"/>
        <v>0</v>
      </c>
      <c r="U96" s="22">
        <f t="shared" si="82"/>
        <v>0</v>
      </c>
      <c r="V96" s="22">
        <f t="shared" ref="V96:X96" si="83">V79*V32</f>
        <v>0</v>
      </c>
      <c r="W96" s="22">
        <f t="shared" si="83"/>
        <v>0</v>
      </c>
      <c r="X96" s="22">
        <f t="shared" si="83"/>
        <v>0</v>
      </c>
      <c r="Y96" s="22">
        <f t="shared" si="49"/>
        <v>0</v>
      </c>
      <c r="Z96" s="42" t="s">
        <v>193</v>
      </c>
    </row>
    <row r="97" spans="2:26" ht="15" customHeight="1" outlineLevel="1" x14ac:dyDescent="0.3">
      <c r="B97" s="35" t="s">
        <v>186</v>
      </c>
      <c r="C97" s="9" t="s">
        <v>76</v>
      </c>
      <c r="D97" s="9" t="s">
        <v>79</v>
      </c>
      <c r="E97" s="22">
        <f t="shared" ref="E97:U97" si="84">E80*E33</f>
        <v>203081.32115638029</v>
      </c>
      <c r="F97" s="22">
        <f t="shared" si="84"/>
        <v>0</v>
      </c>
      <c r="G97" s="22">
        <f t="shared" si="84"/>
        <v>0</v>
      </c>
      <c r="H97" s="22">
        <f t="shared" si="84"/>
        <v>0</v>
      </c>
      <c r="I97" s="22">
        <f t="shared" si="84"/>
        <v>0</v>
      </c>
      <c r="J97" s="22">
        <f t="shared" si="84"/>
        <v>0</v>
      </c>
      <c r="K97" s="22">
        <f t="shared" si="84"/>
        <v>0</v>
      </c>
      <c r="L97" s="22">
        <f t="shared" si="84"/>
        <v>0</v>
      </c>
      <c r="M97" s="22">
        <f t="shared" si="84"/>
        <v>0</v>
      </c>
      <c r="N97" s="22">
        <f t="shared" si="84"/>
        <v>0</v>
      </c>
      <c r="O97" s="22">
        <f t="shared" si="84"/>
        <v>0</v>
      </c>
      <c r="P97" s="22">
        <f t="shared" si="84"/>
        <v>0</v>
      </c>
      <c r="Q97" s="22">
        <f t="shared" si="84"/>
        <v>0</v>
      </c>
      <c r="R97" s="22">
        <f t="shared" si="84"/>
        <v>0</v>
      </c>
      <c r="S97" s="22">
        <f t="shared" si="84"/>
        <v>0</v>
      </c>
      <c r="T97" s="22">
        <f t="shared" si="84"/>
        <v>0</v>
      </c>
      <c r="U97" s="22">
        <f t="shared" si="84"/>
        <v>0</v>
      </c>
      <c r="V97" s="22">
        <f t="shared" ref="V97:X97" si="85">V80*V33</f>
        <v>0</v>
      </c>
      <c r="W97" s="22">
        <f t="shared" si="85"/>
        <v>0</v>
      </c>
      <c r="X97" s="22">
        <f t="shared" si="85"/>
        <v>0</v>
      </c>
      <c r="Y97" s="22">
        <f t="shared" si="49"/>
        <v>203081.32115638029</v>
      </c>
      <c r="Z97" s="42" t="s">
        <v>194</v>
      </c>
    </row>
    <row r="98" spans="2:26" ht="15" customHeight="1" outlineLevel="1" x14ac:dyDescent="0.3">
      <c r="B98" s="35" t="s">
        <v>186</v>
      </c>
      <c r="C98" s="9" t="s">
        <v>80</v>
      </c>
      <c r="D98" s="9" t="s">
        <v>81</v>
      </c>
      <c r="E98" s="22">
        <f>IF($I$2="Oui",E78*0.1,0)</f>
        <v>139704.81665021635</v>
      </c>
      <c r="F98" s="22">
        <f t="shared" ref="F98:U98" si="86">IF($I$2="Oui",F78*0.1,0)</f>
        <v>0</v>
      </c>
      <c r="G98" s="22">
        <f t="shared" si="86"/>
        <v>0</v>
      </c>
      <c r="H98" s="22">
        <f t="shared" si="86"/>
        <v>0</v>
      </c>
      <c r="I98" s="22">
        <f t="shared" si="86"/>
        <v>0</v>
      </c>
      <c r="J98" s="22">
        <f t="shared" si="86"/>
        <v>0</v>
      </c>
      <c r="K98" s="22">
        <f t="shared" si="86"/>
        <v>0</v>
      </c>
      <c r="L98" s="22">
        <f t="shared" si="86"/>
        <v>0</v>
      </c>
      <c r="M98" s="22">
        <f t="shared" si="86"/>
        <v>0</v>
      </c>
      <c r="N98" s="22">
        <f t="shared" si="86"/>
        <v>0</v>
      </c>
      <c r="O98" s="22">
        <f t="shared" si="86"/>
        <v>0</v>
      </c>
      <c r="P98" s="22">
        <f t="shared" si="86"/>
        <v>0</v>
      </c>
      <c r="Q98" s="22">
        <f t="shared" si="86"/>
        <v>0</v>
      </c>
      <c r="R98" s="22">
        <f t="shared" si="86"/>
        <v>0</v>
      </c>
      <c r="S98" s="22">
        <f t="shared" si="86"/>
        <v>0</v>
      </c>
      <c r="T98" s="22">
        <f t="shared" si="86"/>
        <v>0</v>
      </c>
      <c r="U98" s="22">
        <f t="shared" si="86"/>
        <v>0</v>
      </c>
      <c r="V98" s="22">
        <f t="shared" ref="V98:X98" si="87">IF($I$2="Oui",V78*0.1,0)</f>
        <v>0</v>
      </c>
      <c r="W98" s="22">
        <f t="shared" si="87"/>
        <v>0</v>
      </c>
      <c r="X98" s="22">
        <f t="shared" si="87"/>
        <v>0</v>
      </c>
      <c r="Y98" s="22">
        <f t="shared" si="49"/>
        <v>139704.81665021635</v>
      </c>
      <c r="Z98" s="42" t="s">
        <v>192</v>
      </c>
    </row>
    <row r="99" spans="2:26" ht="15" customHeight="1" outlineLevel="1" x14ac:dyDescent="0.3">
      <c r="B99" s="35" t="s">
        <v>186</v>
      </c>
      <c r="C99" s="9" t="s">
        <v>80</v>
      </c>
      <c r="D99" s="9" t="s">
        <v>82</v>
      </c>
      <c r="E99" s="22">
        <f>IF($I$2="Oui",E79*0.1,0)</f>
        <v>32092.926675615763</v>
      </c>
      <c r="F99" s="22">
        <f t="shared" ref="F99:U99" si="88">IF($I$2="Oui",F79*0.1,0)</f>
        <v>0</v>
      </c>
      <c r="G99" s="22">
        <f t="shared" si="88"/>
        <v>0</v>
      </c>
      <c r="H99" s="22">
        <f t="shared" si="88"/>
        <v>0</v>
      </c>
      <c r="I99" s="22">
        <f t="shared" si="88"/>
        <v>0</v>
      </c>
      <c r="J99" s="22">
        <f t="shared" si="88"/>
        <v>0</v>
      </c>
      <c r="K99" s="22">
        <f t="shared" si="88"/>
        <v>0</v>
      </c>
      <c r="L99" s="22">
        <f t="shared" si="88"/>
        <v>0</v>
      </c>
      <c r="M99" s="22">
        <f t="shared" si="88"/>
        <v>0</v>
      </c>
      <c r="N99" s="22">
        <f t="shared" si="88"/>
        <v>0</v>
      </c>
      <c r="O99" s="22">
        <f t="shared" si="88"/>
        <v>0</v>
      </c>
      <c r="P99" s="22">
        <f t="shared" si="88"/>
        <v>0</v>
      </c>
      <c r="Q99" s="22">
        <f t="shared" si="88"/>
        <v>0</v>
      </c>
      <c r="R99" s="22">
        <f t="shared" si="88"/>
        <v>0</v>
      </c>
      <c r="S99" s="22">
        <f t="shared" si="88"/>
        <v>0</v>
      </c>
      <c r="T99" s="22">
        <f t="shared" si="88"/>
        <v>0</v>
      </c>
      <c r="U99" s="22">
        <f t="shared" si="88"/>
        <v>0</v>
      </c>
      <c r="V99" s="22">
        <f t="shared" ref="V99:X99" si="89">IF($I$2="Oui",V79*0.1,0)</f>
        <v>0</v>
      </c>
      <c r="W99" s="22">
        <f t="shared" si="89"/>
        <v>0</v>
      </c>
      <c r="X99" s="22">
        <f t="shared" si="89"/>
        <v>0</v>
      </c>
      <c r="Y99" s="22">
        <f t="shared" si="49"/>
        <v>32092.926675615763</v>
      </c>
      <c r="Z99" s="42" t="s">
        <v>193</v>
      </c>
    </row>
    <row r="100" spans="2:26" ht="15" customHeight="1" outlineLevel="1" x14ac:dyDescent="0.3">
      <c r="B100" s="35" t="s">
        <v>186</v>
      </c>
      <c r="C100" s="9" t="s">
        <v>80</v>
      </c>
      <c r="D100" s="9" t="s">
        <v>83</v>
      </c>
      <c r="E100" s="22">
        <f>IF($I$2="Oui",E80*0.1,0)</f>
        <v>50770.330289095073</v>
      </c>
      <c r="F100" s="22">
        <f t="shared" ref="F100:U100" si="90">IF($I$2="Oui",F80*0.1,0)</f>
        <v>0</v>
      </c>
      <c r="G100" s="22">
        <f t="shared" si="90"/>
        <v>0</v>
      </c>
      <c r="H100" s="22">
        <f t="shared" si="90"/>
        <v>0</v>
      </c>
      <c r="I100" s="22">
        <f t="shared" si="90"/>
        <v>0</v>
      </c>
      <c r="J100" s="22">
        <f t="shared" si="90"/>
        <v>0</v>
      </c>
      <c r="K100" s="22">
        <f t="shared" si="90"/>
        <v>0</v>
      </c>
      <c r="L100" s="22">
        <f t="shared" si="90"/>
        <v>0</v>
      </c>
      <c r="M100" s="22">
        <f t="shared" si="90"/>
        <v>0</v>
      </c>
      <c r="N100" s="22">
        <f t="shared" si="90"/>
        <v>0</v>
      </c>
      <c r="O100" s="22">
        <f t="shared" si="90"/>
        <v>0</v>
      </c>
      <c r="P100" s="22">
        <f t="shared" si="90"/>
        <v>0</v>
      </c>
      <c r="Q100" s="22">
        <f t="shared" si="90"/>
        <v>0</v>
      </c>
      <c r="R100" s="22">
        <f t="shared" si="90"/>
        <v>0</v>
      </c>
      <c r="S100" s="22">
        <f t="shared" si="90"/>
        <v>0</v>
      </c>
      <c r="T100" s="22">
        <f t="shared" si="90"/>
        <v>0</v>
      </c>
      <c r="U100" s="22">
        <f t="shared" si="90"/>
        <v>0</v>
      </c>
      <c r="V100" s="22">
        <f t="shared" ref="V100:X100" si="91">IF($I$2="Oui",V80*0.1,0)</f>
        <v>0</v>
      </c>
      <c r="W100" s="22">
        <f t="shared" si="91"/>
        <v>0</v>
      </c>
      <c r="X100" s="22">
        <f t="shared" si="91"/>
        <v>0</v>
      </c>
      <c r="Y100" s="22">
        <f t="shared" si="49"/>
        <v>50770.330289095073</v>
      </c>
      <c r="Z100" s="42" t="s">
        <v>194</v>
      </c>
    </row>
    <row r="101" spans="2:26" ht="15" customHeight="1" outlineLevel="1" x14ac:dyDescent="0.3">
      <c r="B101" s="35" t="s">
        <v>186</v>
      </c>
      <c r="C101" s="9" t="s">
        <v>84</v>
      </c>
      <c r="D101" s="9" t="s">
        <v>85</v>
      </c>
      <c r="E101" s="22">
        <f>IF($I$3="Oui",E78*0.02,0)</f>
        <v>27940.963330043272</v>
      </c>
      <c r="F101" s="22">
        <f t="shared" ref="F101:U101" si="92">IF($I$3="Oui",F78*0.02,0)</f>
        <v>0</v>
      </c>
      <c r="G101" s="22">
        <f t="shared" si="92"/>
        <v>0</v>
      </c>
      <c r="H101" s="22">
        <f t="shared" si="92"/>
        <v>0</v>
      </c>
      <c r="I101" s="22">
        <f t="shared" si="92"/>
        <v>0</v>
      </c>
      <c r="J101" s="22">
        <f t="shared" si="92"/>
        <v>0</v>
      </c>
      <c r="K101" s="22">
        <f t="shared" si="92"/>
        <v>0</v>
      </c>
      <c r="L101" s="22">
        <f t="shared" si="92"/>
        <v>0</v>
      </c>
      <c r="M101" s="22">
        <f t="shared" si="92"/>
        <v>0</v>
      </c>
      <c r="N101" s="22">
        <f t="shared" si="92"/>
        <v>0</v>
      </c>
      <c r="O101" s="22">
        <f t="shared" si="92"/>
        <v>0</v>
      </c>
      <c r="P101" s="22">
        <f t="shared" si="92"/>
        <v>0</v>
      </c>
      <c r="Q101" s="22">
        <f t="shared" si="92"/>
        <v>0</v>
      </c>
      <c r="R101" s="22">
        <f t="shared" si="92"/>
        <v>0</v>
      </c>
      <c r="S101" s="22">
        <f t="shared" si="92"/>
        <v>0</v>
      </c>
      <c r="T101" s="22">
        <f t="shared" si="92"/>
        <v>0</v>
      </c>
      <c r="U101" s="22">
        <f t="shared" si="92"/>
        <v>0</v>
      </c>
      <c r="V101" s="22">
        <f t="shared" ref="V101:X101" si="93">IF($I$3="Oui",V78*0.02,0)</f>
        <v>0</v>
      </c>
      <c r="W101" s="22">
        <f t="shared" si="93"/>
        <v>0</v>
      </c>
      <c r="X101" s="22">
        <f t="shared" si="93"/>
        <v>0</v>
      </c>
      <c r="Y101" s="22">
        <f t="shared" si="49"/>
        <v>27940.963330043272</v>
      </c>
      <c r="Z101" s="42" t="s">
        <v>192</v>
      </c>
    </row>
    <row r="102" spans="2:26" ht="15" customHeight="1" outlineLevel="1" x14ac:dyDescent="0.3">
      <c r="B102" s="35" t="s">
        <v>186</v>
      </c>
      <c r="C102" s="9" t="s">
        <v>84</v>
      </c>
      <c r="D102" s="9" t="s">
        <v>86</v>
      </c>
      <c r="E102" s="22">
        <f>IF($I$3="Oui",E79*0.02,0)</f>
        <v>6418.5853351231526</v>
      </c>
      <c r="F102" s="22">
        <f t="shared" ref="F102:U102" si="94">IF($I$3="Oui",F79*0.02,0)</f>
        <v>0</v>
      </c>
      <c r="G102" s="22">
        <f t="shared" si="94"/>
        <v>0</v>
      </c>
      <c r="H102" s="22">
        <f t="shared" si="94"/>
        <v>0</v>
      </c>
      <c r="I102" s="22">
        <f t="shared" si="94"/>
        <v>0</v>
      </c>
      <c r="J102" s="22">
        <f t="shared" si="94"/>
        <v>0</v>
      </c>
      <c r="K102" s="22">
        <f t="shared" si="94"/>
        <v>0</v>
      </c>
      <c r="L102" s="22">
        <f t="shared" si="94"/>
        <v>0</v>
      </c>
      <c r="M102" s="22">
        <f t="shared" si="94"/>
        <v>0</v>
      </c>
      <c r="N102" s="22">
        <f t="shared" si="94"/>
        <v>0</v>
      </c>
      <c r="O102" s="22">
        <f t="shared" si="94"/>
        <v>0</v>
      </c>
      <c r="P102" s="22">
        <f t="shared" si="94"/>
        <v>0</v>
      </c>
      <c r="Q102" s="22">
        <f t="shared" si="94"/>
        <v>0</v>
      </c>
      <c r="R102" s="22">
        <f t="shared" si="94"/>
        <v>0</v>
      </c>
      <c r="S102" s="22">
        <f t="shared" si="94"/>
        <v>0</v>
      </c>
      <c r="T102" s="22">
        <f t="shared" si="94"/>
        <v>0</v>
      </c>
      <c r="U102" s="22">
        <f t="shared" si="94"/>
        <v>0</v>
      </c>
      <c r="V102" s="22">
        <f t="shared" ref="V102:X102" si="95">IF($I$3="Oui",V79*0.02,0)</f>
        <v>0</v>
      </c>
      <c r="W102" s="22">
        <f t="shared" si="95"/>
        <v>0</v>
      </c>
      <c r="X102" s="22">
        <f t="shared" si="95"/>
        <v>0</v>
      </c>
      <c r="Y102" s="22">
        <f t="shared" si="49"/>
        <v>6418.5853351231526</v>
      </c>
      <c r="Z102" s="42" t="s">
        <v>193</v>
      </c>
    </row>
    <row r="103" spans="2:26" ht="15" customHeight="1" outlineLevel="1" x14ac:dyDescent="0.3">
      <c r="B103" s="35" t="s">
        <v>186</v>
      </c>
      <c r="C103" s="9" t="s">
        <v>84</v>
      </c>
      <c r="D103" s="9" t="s">
        <v>87</v>
      </c>
      <c r="E103" s="22">
        <f>IF($I$3="Oui",E80*0.02,0)</f>
        <v>10154.066057819015</v>
      </c>
      <c r="F103" s="22">
        <f t="shared" ref="F103:U103" si="96">IF($I$3="Oui",F80*0.02,0)</f>
        <v>0</v>
      </c>
      <c r="G103" s="22">
        <f t="shared" si="96"/>
        <v>0</v>
      </c>
      <c r="H103" s="22">
        <f t="shared" si="96"/>
        <v>0</v>
      </c>
      <c r="I103" s="22">
        <f t="shared" si="96"/>
        <v>0</v>
      </c>
      <c r="J103" s="22">
        <f t="shared" si="96"/>
        <v>0</v>
      </c>
      <c r="K103" s="22">
        <f t="shared" si="96"/>
        <v>0</v>
      </c>
      <c r="L103" s="22">
        <f t="shared" si="96"/>
        <v>0</v>
      </c>
      <c r="M103" s="22">
        <f t="shared" si="96"/>
        <v>0</v>
      </c>
      <c r="N103" s="22">
        <f t="shared" si="96"/>
        <v>0</v>
      </c>
      <c r="O103" s="22">
        <f t="shared" si="96"/>
        <v>0</v>
      </c>
      <c r="P103" s="22">
        <f t="shared" si="96"/>
        <v>0</v>
      </c>
      <c r="Q103" s="22">
        <f t="shared" si="96"/>
        <v>0</v>
      </c>
      <c r="R103" s="22">
        <f t="shared" si="96"/>
        <v>0</v>
      </c>
      <c r="S103" s="22">
        <f t="shared" si="96"/>
        <v>0</v>
      </c>
      <c r="T103" s="22">
        <f t="shared" si="96"/>
        <v>0</v>
      </c>
      <c r="U103" s="22">
        <f t="shared" si="96"/>
        <v>0</v>
      </c>
      <c r="V103" s="22">
        <f t="shared" ref="V103:X103" si="97">IF($I$3="Oui",V80*0.02,0)</f>
        <v>0</v>
      </c>
      <c r="W103" s="22">
        <f t="shared" si="97"/>
        <v>0</v>
      </c>
      <c r="X103" s="22">
        <f t="shared" si="97"/>
        <v>0</v>
      </c>
      <c r="Y103" s="22">
        <f t="shared" si="49"/>
        <v>10154.066057819015</v>
      </c>
      <c r="Z103" s="42" t="s">
        <v>194</v>
      </c>
    </row>
    <row r="104" spans="2:26" ht="15" customHeight="1" outlineLevel="1" x14ac:dyDescent="0.3">
      <c r="B104" s="35" t="s">
        <v>186</v>
      </c>
      <c r="C104" s="9" t="s">
        <v>88</v>
      </c>
      <c r="D104" s="9" t="s">
        <v>89</v>
      </c>
      <c r="E104" s="22">
        <f>IF($E$3="Collecteur",E78*0.25*(1+$T$5),0)</f>
        <v>0</v>
      </c>
      <c r="F104" s="22">
        <f t="shared" ref="F104:U104" si="98">IF($E$3="Collecteur",F78*0.25*(1+$T$5),0)</f>
        <v>0</v>
      </c>
      <c r="G104" s="22">
        <f t="shared" si="98"/>
        <v>0</v>
      </c>
      <c r="H104" s="22">
        <f t="shared" si="98"/>
        <v>0</v>
      </c>
      <c r="I104" s="22">
        <f t="shared" si="98"/>
        <v>0</v>
      </c>
      <c r="J104" s="22">
        <f t="shared" si="98"/>
        <v>0</v>
      </c>
      <c r="K104" s="22">
        <f t="shared" si="98"/>
        <v>0</v>
      </c>
      <c r="L104" s="22">
        <f t="shared" si="98"/>
        <v>0</v>
      </c>
      <c r="M104" s="22">
        <f t="shared" si="98"/>
        <v>0</v>
      </c>
      <c r="N104" s="22">
        <f t="shared" si="98"/>
        <v>0</v>
      </c>
      <c r="O104" s="22">
        <f t="shared" si="98"/>
        <v>0</v>
      </c>
      <c r="P104" s="22">
        <f t="shared" si="98"/>
        <v>0</v>
      </c>
      <c r="Q104" s="22">
        <f t="shared" si="98"/>
        <v>0</v>
      </c>
      <c r="R104" s="22">
        <f t="shared" si="98"/>
        <v>0</v>
      </c>
      <c r="S104" s="22">
        <f t="shared" si="98"/>
        <v>0</v>
      </c>
      <c r="T104" s="22">
        <f t="shared" si="98"/>
        <v>0</v>
      </c>
      <c r="U104" s="22">
        <f t="shared" si="98"/>
        <v>0</v>
      </c>
      <c r="V104" s="22">
        <f t="shared" ref="V104:X104" si="99">IF($E$3="Collecteur",V78*0.25*(1+$T$5),0)</f>
        <v>0</v>
      </c>
      <c r="W104" s="22">
        <f t="shared" si="99"/>
        <v>0</v>
      </c>
      <c r="X104" s="22">
        <f t="shared" si="99"/>
        <v>0</v>
      </c>
      <c r="Y104" s="22">
        <f t="shared" si="49"/>
        <v>0</v>
      </c>
      <c r="Z104" s="42" t="s">
        <v>192</v>
      </c>
    </row>
    <row r="105" spans="2:26" ht="15" customHeight="1" outlineLevel="1" x14ac:dyDescent="0.3">
      <c r="B105" s="35" t="s">
        <v>186</v>
      </c>
      <c r="C105" s="9" t="s">
        <v>88</v>
      </c>
      <c r="D105" s="9" t="s">
        <v>90</v>
      </c>
      <c r="E105" s="22">
        <f>IF($E$3="Collecteur",E79*0.25*(1+$T$5),0)</f>
        <v>0</v>
      </c>
      <c r="F105" s="22">
        <f t="shared" ref="F105:U105" si="100">IF($E$3="Collecteur",F79*0.25*(1+$T$5),0)</f>
        <v>0</v>
      </c>
      <c r="G105" s="22">
        <f t="shared" si="100"/>
        <v>0</v>
      </c>
      <c r="H105" s="22">
        <f t="shared" si="100"/>
        <v>0</v>
      </c>
      <c r="I105" s="22">
        <f t="shared" si="100"/>
        <v>0</v>
      </c>
      <c r="J105" s="22">
        <f t="shared" si="100"/>
        <v>0</v>
      </c>
      <c r="K105" s="22">
        <f t="shared" si="100"/>
        <v>0</v>
      </c>
      <c r="L105" s="22">
        <f t="shared" si="100"/>
        <v>0</v>
      </c>
      <c r="M105" s="22">
        <f t="shared" si="100"/>
        <v>0</v>
      </c>
      <c r="N105" s="22">
        <f t="shared" si="100"/>
        <v>0</v>
      </c>
      <c r="O105" s="22">
        <f t="shared" si="100"/>
        <v>0</v>
      </c>
      <c r="P105" s="22">
        <f t="shared" si="100"/>
        <v>0</v>
      </c>
      <c r="Q105" s="22">
        <f t="shared" si="100"/>
        <v>0</v>
      </c>
      <c r="R105" s="22">
        <f t="shared" si="100"/>
        <v>0</v>
      </c>
      <c r="S105" s="22">
        <f t="shared" si="100"/>
        <v>0</v>
      </c>
      <c r="T105" s="22">
        <f t="shared" si="100"/>
        <v>0</v>
      </c>
      <c r="U105" s="22">
        <f t="shared" si="100"/>
        <v>0</v>
      </c>
      <c r="V105" s="22">
        <f t="shared" ref="V105:X105" si="101">IF($E$3="Collecteur",V79*0.25*(1+$T$5),0)</f>
        <v>0</v>
      </c>
      <c r="W105" s="22">
        <f t="shared" si="101"/>
        <v>0</v>
      </c>
      <c r="X105" s="22">
        <f t="shared" si="101"/>
        <v>0</v>
      </c>
      <c r="Y105" s="22">
        <f t="shared" si="49"/>
        <v>0</v>
      </c>
      <c r="Z105" s="42" t="s">
        <v>193</v>
      </c>
    </row>
    <row r="106" spans="2:26" ht="15" customHeight="1" outlineLevel="1" x14ac:dyDescent="0.3">
      <c r="B106" s="35" t="s">
        <v>186</v>
      </c>
      <c r="C106" s="9" t="s">
        <v>88</v>
      </c>
      <c r="D106" s="9" t="s">
        <v>91</v>
      </c>
      <c r="E106" s="22">
        <f>IF($E$3="Collecteur",E80*0.25*(1+$T$5),0)</f>
        <v>0</v>
      </c>
      <c r="F106" s="22">
        <f t="shared" ref="F106:U106" si="102">IF($E$3="Collecteur",F80*0.25*(1+$T$5),0)</f>
        <v>0</v>
      </c>
      <c r="G106" s="22">
        <f t="shared" si="102"/>
        <v>0</v>
      </c>
      <c r="H106" s="22">
        <f t="shared" si="102"/>
        <v>0</v>
      </c>
      <c r="I106" s="22">
        <f t="shared" si="102"/>
        <v>0</v>
      </c>
      <c r="J106" s="22">
        <f t="shared" si="102"/>
        <v>0</v>
      </c>
      <c r="K106" s="22">
        <f t="shared" si="102"/>
        <v>0</v>
      </c>
      <c r="L106" s="22">
        <f t="shared" si="102"/>
        <v>0</v>
      </c>
      <c r="M106" s="22">
        <f t="shared" si="102"/>
        <v>0</v>
      </c>
      <c r="N106" s="22">
        <f t="shared" si="102"/>
        <v>0</v>
      </c>
      <c r="O106" s="22">
        <f t="shared" si="102"/>
        <v>0</v>
      </c>
      <c r="P106" s="22">
        <f t="shared" si="102"/>
        <v>0</v>
      </c>
      <c r="Q106" s="22">
        <f t="shared" si="102"/>
        <v>0</v>
      </c>
      <c r="R106" s="22">
        <f t="shared" si="102"/>
        <v>0</v>
      </c>
      <c r="S106" s="22">
        <f t="shared" si="102"/>
        <v>0</v>
      </c>
      <c r="T106" s="22">
        <f t="shared" si="102"/>
        <v>0</v>
      </c>
      <c r="U106" s="22">
        <f t="shared" si="102"/>
        <v>0</v>
      </c>
      <c r="V106" s="22">
        <f t="shared" ref="V106:X106" si="103">IF($E$3="Collecteur",V80*0.25*(1+$T$5),0)</f>
        <v>0</v>
      </c>
      <c r="W106" s="22">
        <f t="shared" si="103"/>
        <v>0</v>
      </c>
      <c r="X106" s="22">
        <f t="shared" si="103"/>
        <v>0</v>
      </c>
      <c r="Y106" s="22">
        <f t="shared" si="49"/>
        <v>0</v>
      </c>
      <c r="Z106" s="42" t="s">
        <v>194</v>
      </c>
    </row>
    <row r="107" spans="2:26" ht="15" customHeight="1" outlineLevel="1" x14ac:dyDescent="0.3">
      <c r="B107" s="35" t="s">
        <v>186</v>
      </c>
      <c r="C107" s="9" t="s">
        <v>92</v>
      </c>
      <c r="D107" s="9" t="s">
        <v>93</v>
      </c>
      <c r="E107" s="22">
        <f>IF($I$4="Oui",E78*0.05,0)</f>
        <v>69852.408325108176</v>
      </c>
      <c r="F107" s="22">
        <f t="shared" ref="F107:U107" si="104">IF($I$4="Oui",F78*0.05,0)</f>
        <v>0</v>
      </c>
      <c r="G107" s="22">
        <f t="shared" si="104"/>
        <v>0</v>
      </c>
      <c r="H107" s="22">
        <f t="shared" si="104"/>
        <v>0</v>
      </c>
      <c r="I107" s="22">
        <f t="shared" si="104"/>
        <v>0</v>
      </c>
      <c r="J107" s="22">
        <f t="shared" si="104"/>
        <v>0</v>
      </c>
      <c r="K107" s="22">
        <f t="shared" si="104"/>
        <v>0</v>
      </c>
      <c r="L107" s="22">
        <f t="shared" si="104"/>
        <v>0</v>
      </c>
      <c r="M107" s="22">
        <f t="shared" si="104"/>
        <v>0</v>
      </c>
      <c r="N107" s="22">
        <f t="shared" si="104"/>
        <v>0</v>
      </c>
      <c r="O107" s="22">
        <f t="shared" si="104"/>
        <v>0</v>
      </c>
      <c r="P107" s="22">
        <f t="shared" si="104"/>
        <v>0</v>
      </c>
      <c r="Q107" s="22">
        <f t="shared" si="104"/>
        <v>0</v>
      </c>
      <c r="R107" s="22">
        <f t="shared" si="104"/>
        <v>0</v>
      </c>
      <c r="S107" s="22">
        <f t="shared" si="104"/>
        <v>0</v>
      </c>
      <c r="T107" s="22">
        <f t="shared" si="104"/>
        <v>0</v>
      </c>
      <c r="U107" s="22">
        <f t="shared" si="104"/>
        <v>0</v>
      </c>
      <c r="V107" s="22">
        <f t="shared" ref="V107:X107" si="105">IF($I$4="Oui",V78*0.05,0)</f>
        <v>0</v>
      </c>
      <c r="W107" s="22">
        <f t="shared" si="105"/>
        <v>0</v>
      </c>
      <c r="X107" s="22">
        <f t="shared" si="105"/>
        <v>0</v>
      </c>
      <c r="Y107" s="22">
        <f t="shared" si="49"/>
        <v>69852.408325108176</v>
      </c>
      <c r="Z107" s="42" t="s">
        <v>192</v>
      </c>
    </row>
    <row r="108" spans="2:26" ht="15" customHeight="1" outlineLevel="1" x14ac:dyDescent="0.3">
      <c r="B108" s="35" t="s">
        <v>186</v>
      </c>
      <c r="C108" s="9" t="s">
        <v>92</v>
      </c>
      <c r="D108" s="9" t="s">
        <v>94</v>
      </c>
      <c r="E108" s="22">
        <f>IF($I$4="Oui",E79*0.05,0)</f>
        <v>16046.463337807882</v>
      </c>
      <c r="F108" s="22">
        <f t="shared" ref="F108:U108" si="106">IF($I$4="Oui",F79*0.05,0)</f>
        <v>0</v>
      </c>
      <c r="G108" s="22">
        <f t="shared" si="106"/>
        <v>0</v>
      </c>
      <c r="H108" s="22">
        <f t="shared" si="106"/>
        <v>0</v>
      </c>
      <c r="I108" s="22">
        <f t="shared" si="106"/>
        <v>0</v>
      </c>
      <c r="J108" s="22">
        <f t="shared" si="106"/>
        <v>0</v>
      </c>
      <c r="K108" s="22">
        <f t="shared" si="106"/>
        <v>0</v>
      </c>
      <c r="L108" s="22">
        <f t="shared" si="106"/>
        <v>0</v>
      </c>
      <c r="M108" s="22">
        <f t="shared" si="106"/>
        <v>0</v>
      </c>
      <c r="N108" s="22">
        <f t="shared" si="106"/>
        <v>0</v>
      </c>
      <c r="O108" s="22">
        <f t="shared" si="106"/>
        <v>0</v>
      </c>
      <c r="P108" s="22">
        <f t="shared" si="106"/>
        <v>0</v>
      </c>
      <c r="Q108" s="22">
        <f t="shared" si="106"/>
        <v>0</v>
      </c>
      <c r="R108" s="22">
        <f t="shared" si="106"/>
        <v>0</v>
      </c>
      <c r="S108" s="22">
        <f t="shared" si="106"/>
        <v>0</v>
      </c>
      <c r="T108" s="22">
        <f t="shared" si="106"/>
        <v>0</v>
      </c>
      <c r="U108" s="22">
        <f t="shared" si="106"/>
        <v>0</v>
      </c>
      <c r="V108" s="22">
        <f t="shared" ref="V108:X108" si="107">IF($I$4="Oui",V79*0.05,0)</f>
        <v>0</v>
      </c>
      <c r="W108" s="22">
        <f t="shared" si="107"/>
        <v>0</v>
      </c>
      <c r="X108" s="22">
        <f t="shared" si="107"/>
        <v>0</v>
      </c>
      <c r="Y108" s="22">
        <f t="shared" si="49"/>
        <v>16046.463337807882</v>
      </c>
      <c r="Z108" s="42" t="s">
        <v>193</v>
      </c>
    </row>
    <row r="109" spans="2:26" ht="15" customHeight="1" outlineLevel="1" x14ac:dyDescent="0.3">
      <c r="B109" s="35" t="s">
        <v>186</v>
      </c>
      <c r="C109" s="9" t="s">
        <v>92</v>
      </c>
      <c r="D109" s="9" t="s">
        <v>95</v>
      </c>
      <c r="E109" s="22">
        <f>IF($I$4="Oui",E80*0.05,0)</f>
        <v>25385.165144547536</v>
      </c>
      <c r="F109" s="22">
        <f t="shared" ref="F109:U109" si="108">IF($I$4="Oui",F80*0.05,0)</f>
        <v>0</v>
      </c>
      <c r="G109" s="22">
        <f t="shared" si="108"/>
        <v>0</v>
      </c>
      <c r="H109" s="22">
        <f t="shared" si="108"/>
        <v>0</v>
      </c>
      <c r="I109" s="22">
        <f t="shared" si="108"/>
        <v>0</v>
      </c>
      <c r="J109" s="22">
        <f t="shared" si="108"/>
        <v>0</v>
      </c>
      <c r="K109" s="22">
        <f t="shared" si="108"/>
        <v>0</v>
      </c>
      <c r="L109" s="22">
        <f t="shared" si="108"/>
        <v>0</v>
      </c>
      <c r="M109" s="22">
        <f t="shared" si="108"/>
        <v>0</v>
      </c>
      <c r="N109" s="22">
        <f t="shared" si="108"/>
        <v>0</v>
      </c>
      <c r="O109" s="22">
        <f t="shared" si="108"/>
        <v>0</v>
      </c>
      <c r="P109" s="22">
        <f t="shared" si="108"/>
        <v>0</v>
      </c>
      <c r="Q109" s="22">
        <f t="shared" si="108"/>
        <v>0</v>
      </c>
      <c r="R109" s="22">
        <f t="shared" si="108"/>
        <v>0</v>
      </c>
      <c r="S109" s="22">
        <f t="shared" si="108"/>
        <v>0</v>
      </c>
      <c r="T109" s="22">
        <f t="shared" si="108"/>
        <v>0</v>
      </c>
      <c r="U109" s="22">
        <f t="shared" si="108"/>
        <v>0</v>
      </c>
      <c r="V109" s="22">
        <f t="shared" ref="V109:X109" si="109">IF($I$4="Oui",V80*0.05,0)</f>
        <v>0</v>
      </c>
      <c r="W109" s="22">
        <f t="shared" si="109"/>
        <v>0</v>
      </c>
      <c r="X109" s="22">
        <f t="shared" si="109"/>
        <v>0</v>
      </c>
      <c r="Y109" s="22">
        <f t="shared" si="49"/>
        <v>25385.165144547536</v>
      </c>
      <c r="Z109" s="42" t="s">
        <v>194</v>
      </c>
    </row>
    <row r="110" spans="2:26" ht="15" customHeight="1" outlineLevel="2" x14ac:dyDescent="0.3">
      <c r="B110" s="35" t="s">
        <v>186</v>
      </c>
      <c r="C110" s="13" t="s">
        <v>96</v>
      </c>
      <c r="D110" s="9" t="s">
        <v>97</v>
      </c>
      <c r="E110" s="22">
        <f>E78*$Y$41</f>
        <v>17518.984007937128</v>
      </c>
      <c r="F110" s="22">
        <f t="shared" ref="F110:U110" si="110">F78*$Y$41</f>
        <v>0</v>
      </c>
      <c r="G110" s="22">
        <f t="shared" si="110"/>
        <v>0</v>
      </c>
      <c r="H110" s="22">
        <f t="shared" si="110"/>
        <v>0</v>
      </c>
      <c r="I110" s="22">
        <f t="shared" si="110"/>
        <v>0</v>
      </c>
      <c r="J110" s="22">
        <f t="shared" si="110"/>
        <v>0</v>
      </c>
      <c r="K110" s="22">
        <f t="shared" si="110"/>
        <v>0</v>
      </c>
      <c r="L110" s="22">
        <f t="shared" si="110"/>
        <v>0</v>
      </c>
      <c r="M110" s="22">
        <f t="shared" si="110"/>
        <v>0</v>
      </c>
      <c r="N110" s="22">
        <f t="shared" si="110"/>
        <v>0</v>
      </c>
      <c r="O110" s="22">
        <f t="shared" si="110"/>
        <v>0</v>
      </c>
      <c r="P110" s="22">
        <f t="shared" si="110"/>
        <v>0</v>
      </c>
      <c r="Q110" s="22">
        <f t="shared" si="110"/>
        <v>0</v>
      </c>
      <c r="R110" s="22">
        <f t="shared" si="110"/>
        <v>0</v>
      </c>
      <c r="S110" s="22">
        <f t="shared" si="110"/>
        <v>0</v>
      </c>
      <c r="T110" s="22">
        <f t="shared" si="110"/>
        <v>0</v>
      </c>
      <c r="U110" s="22">
        <f t="shared" si="110"/>
        <v>0</v>
      </c>
      <c r="V110" s="22">
        <f t="shared" ref="V110:X110" si="111">V78*$Y$41</f>
        <v>0</v>
      </c>
      <c r="W110" s="22">
        <f t="shared" si="111"/>
        <v>0</v>
      </c>
      <c r="X110" s="22">
        <f t="shared" si="111"/>
        <v>0</v>
      </c>
      <c r="Y110" s="22">
        <f t="shared" si="49"/>
        <v>17518.984007937128</v>
      </c>
      <c r="Z110" s="42" t="s">
        <v>192</v>
      </c>
    </row>
    <row r="111" spans="2:26" ht="15" customHeight="1" outlineLevel="2" x14ac:dyDescent="0.3">
      <c r="B111" s="35" t="s">
        <v>186</v>
      </c>
      <c r="C111" s="13" t="s">
        <v>96</v>
      </c>
      <c r="D111" s="9" t="s">
        <v>98</v>
      </c>
      <c r="E111" s="22">
        <f>E79*$Y$41</f>
        <v>4024.4530051222164</v>
      </c>
      <c r="F111" s="22">
        <f t="shared" ref="F111:U111" si="112">F79*$Y$41</f>
        <v>0</v>
      </c>
      <c r="G111" s="22">
        <f t="shared" si="112"/>
        <v>0</v>
      </c>
      <c r="H111" s="22">
        <f t="shared" si="112"/>
        <v>0</v>
      </c>
      <c r="I111" s="22">
        <f t="shared" si="112"/>
        <v>0</v>
      </c>
      <c r="J111" s="22">
        <f t="shared" si="112"/>
        <v>0</v>
      </c>
      <c r="K111" s="22">
        <f t="shared" si="112"/>
        <v>0</v>
      </c>
      <c r="L111" s="22">
        <f t="shared" si="112"/>
        <v>0</v>
      </c>
      <c r="M111" s="22">
        <f t="shared" si="112"/>
        <v>0</v>
      </c>
      <c r="N111" s="22">
        <f t="shared" si="112"/>
        <v>0</v>
      </c>
      <c r="O111" s="22">
        <f t="shared" si="112"/>
        <v>0</v>
      </c>
      <c r="P111" s="22">
        <f t="shared" si="112"/>
        <v>0</v>
      </c>
      <c r="Q111" s="22">
        <f t="shared" si="112"/>
        <v>0</v>
      </c>
      <c r="R111" s="22">
        <f t="shared" si="112"/>
        <v>0</v>
      </c>
      <c r="S111" s="22">
        <f t="shared" si="112"/>
        <v>0</v>
      </c>
      <c r="T111" s="22">
        <f t="shared" si="112"/>
        <v>0</v>
      </c>
      <c r="U111" s="22">
        <f t="shared" si="112"/>
        <v>0</v>
      </c>
      <c r="V111" s="22">
        <f t="shared" ref="V111:X111" si="113">V79*$Y$41</f>
        <v>0</v>
      </c>
      <c r="W111" s="22">
        <f t="shared" si="113"/>
        <v>0</v>
      </c>
      <c r="X111" s="22">
        <f t="shared" si="113"/>
        <v>0</v>
      </c>
      <c r="Y111" s="22">
        <f t="shared" si="49"/>
        <v>4024.4530051222164</v>
      </c>
      <c r="Z111" s="42" t="s">
        <v>193</v>
      </c>
    </row>
    <row r="112" spans="2:26" ht="15" customHeight="1" outlineLevel="2" x14ac:dyDescent="0.3">
      <c r="B112" s="35" t="s">
        <v>186</v>
      </c>
      <c r="C112" s="13" t="s">
        <v>96</v>
      </c>
      <c r="D112" s="9" t="s">
        <v>99</v>
      </c>
      <c r="E112" s="22">
        <f>E80*$Y$41</f>
        <v>6366.599418252521</v>
      </c>
      <c r="F112" s="22">
        <f t="shared" ref="F112:U112" si="114">F80*$Y$41</f>
        <v>0</v>
      </c>
      <c r="G112" s="22">
        <f t="shared" si="114"/>
        <v>0</v>
      </c>
      <c r="H112" s="22">
        <f t="shared" si="114"/>
        <v>0</v>
      </c>
      <c r="I112" s="22">
        <f t="shared" si="114"/>
        <v>0</v>
      </c>
      <c r="J112" s="22">
        <f t="shared" si="114"/>
        <v>0</v>
      </c>
      <c r="K112" s="22">
        <f t="shared" si="114"/>
        <v>0</v>
      </c>
      <c r="L112" s="22">
        <f t="shared" si="114"/>
        <v>0</v>
      </c>
      <c r="M112" s="22">
        <f t="shared" si="114"/>
        <v>0</v>
      </c>
      <c r="N112" s="22">
        <f t="shared" si="114"/>
        <v>0</v>
      </c>
      <c r="O112" s="22">
        <f t="shared" si="114"/>
        <v>0</v>
      </c>
      <c r="P112" s="22">
        <f t="shared" si="114"/>
        <v>0</v>
      </c>
      <c r="Q112" s="22">
        <f t="shared" si="114"/>
        <v>0</v>
      </c>
      <c r="R112" s="22">
        <f t="shared" si="114"/>
        <v>0</v>
      </c>
      <c r="S112" s="22">
        <f t="shared" si="114"/>
        <v>0</v>
      </c>
      <c r="T112" s="22">
        <f t="shared" si="114"/>
        <v>0</v>
      </c>
      <c r="U112" s="22">
        <f t="shared" si="114"/>
        <v>0</v>
      </c>
      <c r="V112" s="22">
        <f t="shared" ref="V112:X112" si="115">V80*$Y$41</f>
        <v>0</v>
      </c>
      <c r="W112" s="22">
        <f t="shared" si="115"/>
        <v>0</v>
      </c>
      <c r="X112" s="22">
        <f t="shared" si="115"/>
        <v>0</v>
      </c>
      <c r="Y112" s="22">
        <f t="shared" si="49"/>
        <v>6366.599418252521</v>
      </c>
      <c r="Z112" s="42" t="s">
        <v>194</v>
      </c>
    </row>
    <row r="113" spans="2:26" ht="15" customHeight="1" outlineLevel="2" x14ac:dyDescent="0.3">
      <c r="B113" s="35" t="s">
        <v>186</v>
      </c>
      <c r="C113" s="13" t="s">
        <v>96</v>
      </c>
      <c r="D113" s="13" t="s">
        <v>100</v>
      </c>
      <c r="E113" s="22">
        <f>E78*$Y$43</f>
        <v>14752.828638262847</v>
      </c>
      <c r="F113" s="22">
        <f t="shared" ref="F113:U113" si="116">F78*$Y$43</f>
        <v>0</v>
      </c>
      <c r="G113" s="22">
        <f t="shared" si="116"/>
        <v>0</v>
      </c>
      <c r="H113" s="22">
        <f t="shared" si="116"/>
        <v>0</v>
      </c>
      <c r="I113" s="22">
        <f t="shared" si="116"/>
        <v>0</v>
      </c>
      <c r="J113" s="22">
        <f t="shared" si="116"/>
        <v>0</v>
      </c>
      <c r="K113" s="22">
        <f t="shared" si="116"/>
        <v>0</v>
      </c>
      <c r="L113" s="22">
        <f t="shared" si="116"/>
        <v>0</v>
      </c>
      <c r="M113" s="22">
        <f t="shared" si="116"/>
        <v>0</v>
      </c>
      <c r="N113" s="22">
        <f t="shared" si="116"/>
        <v>0</v>
      </c>
      <c r="O113" s="22">
        <f t="shared" si="116"/>
        <v>0</v>
      </c>
      <c r="P113" s="22">
        <f t="shared" si="116"/>
        <v>0</v>
      </c>
      <c r="Q113" s="22">
        <f t="shared" si="116"/>
        <v>0</v>
      </c>
      <c r="R113" s="22">
        <f t="shared" si="116"/>
        <v>0</v>
      </c>
      <c r="S113" s="22">
        <f t="shared" si="116"/>
        <v>0</v>
      </c>
      <c r="T113" s="22">
        <f t="shared" si="116"/>
        <v>0</v>
      </c>
      <c r="U113" s="22">
        <f t="shared" si="116"/>
        <v>0</v>
      </c>
      <c r="V113" s="22">
        <f t="shared" ref="V113:X113" si="117">V78*$Y$43</f>
        <v>0</v>
      </c>
      <c r="W113" s="22">
        <f t="shared" si="117"/>
        <v>0</v>
      </c>
      <c r="X113" s="22">
        <f t="shared" si="117"/>
        <v>0</v>
      </c>
      <c r="Y113" s="22">
        <f t="shared" si="49"/>
        <v>14752.828638262847</v>
      </c>
      <c r="Z113" s="42" t="s">
        <v>192</v>
      </c>
    </row>
    <row r="114" spans="2:26" ht="15" customHeight="1" outlineLevel="2" x14ac:dyDescent="0.3">
      <c r="B114" s="35" t="s">
        <v>186</v>
      </c>
      <c r="C114" s="13" t="s">
        <v>96</v>
      </c>
      <c r="D114" s="13" t="s">
        <v>101</v>
      </c>
      <c r="E114" s="22">
        <f>E79*$Y$43</f>
        <v>3389.0130569450243</v>
      </c>
      <c r="F114" s="22">
        <f t="shared" ref="F114:U114" si="118">F79*$Y$43</f>
        <v>0</v>
      </c>
      <c r="G114" s="22">
        <f t="shared" si="118"/>
        <v>0</v>
      </c>
      <c r="H114" s="22">
        <f t="shared" si="118"/>
        <v>0</v>
      </c>
      <c r="I114" s="22">
        <f t="shared" si="118"/>
        <v>0</v>
      </c>
      <c r="J114" s="22">
        <f t="shared" si="118"/>
        <v>0</v>
      </c>
      <c r="K114" s="22">
        <f t="shared" si="118"/>
        <v>0</v>
      </c>
      <c r="L114" s="22">
        <f t="shared" si="118"/>
        <v>0</v>
      </c>
      <c r="M114" s="22">
        <f t="shared" si="118"/>
        <v>0</v>
      </c>
      <c r="N114" s="22">
        <f t="shared" si="118"/>
        <v>0</v>
      </c>
      <c r="O114" s="22">
        <f t="shared" si="118"/>
        <v>0</v>
      </c>
      <c r="P114" s="22">
        <f t="shared" si="118"/>
        <v>0</v>
      </c>
      <c r="Q114" s="22">
        <f t="shared" si="118"/>
        <v>0</v>
      </c>
      <c r="R114" s="22">
        <f t="shared" si="118"/>
        <v>0</v>
      </c>
      <c r="S114" s="22">
        <f t="shared" si="118"/>
        <v>0</v>
      </c>
      <c r="T114" s="22">
        <f t="shared" si="118"/>
        <v>0</v>
      </c>
      <c r="U114" s="22">
        <f t="shared" si="118"/>
        <v>0</v>
      </c>
      <c r="V114" s="22">
        <f t="shared" ref="V114:X114" si="119">V79*$Y$43</f>
        <v>0</v>
      </c>
      <c r="W114" s="22">
        <f t="shared" si="119"/>
        <v>0</v>
      </c>
      <c r="X114" s="22">
        <f t="shared" si="119"/>
        <v>0</v>
      </c>
      <c r="Y114" s="22">
        <f t="shared" si="49"/>
        <v>3389.0130569450243</v>
      </c>
      <c r="Z114" s="42" t="s">
        <v>193</v>
      </c>
    </row>
    <row r="115" spans="2:26" ht="15" customHeight="1" outlineLevel="2" x14ac:dyDescent="0.3">
      <c r="B115" s="35" t="s">
        <v>186</v>
      </c>
      <c r="C115" s="13" t="s">
        <v>96</v>
      </c>
      <c r="D115" s="13" t="s">
        <v>102</v>
      </c>
      <c r="E115" s="22">
        <f>E80*$Y$43</f>
        <v>5361.3468785284394</v>
      </c>
      <c r="F115" s="22">
        <f t="shared" ref="F115:U115" si="120">F80*$Y$43</f>
        <v>0</v>
      </c>
      <c r="G115" s="22">
        <f t="shared" si="120"/>
        <v>0</v>
      </c>
      <c r="H115" s="22">
        <f t="shared" si="120"/>
        <v>0</v>
      </c>
      <c r="I115" s="22">
        <f t="shared" si="120"/>
        <v>0</v>
      </c>
      <c r="J115" s="22">
        <f t="shared" si="120"/>
        <v>0</v>
      </c>
      <c r="K115" s="22">
        <f t="shared" si="120"/>
        <v>0</v>
      </c>
      <c r="L115" s="22">
        <f t="shared" si="120"/>
        <v>0</v>
      </c>
      <c r="M115" s="22">
        <f t="shared" si="120"/>
        <v>0</v>
      </c>
      <c r="N115" s="22">
        <f t="shared" si="120"/>
        <v>0</v>
      </c>
      <c r="O115" s="22">
        <f t="shared" si="120"/>
        <v>0</v>
      </c>
      <c r="P115" s="22">
        <f t="shared" si="120"/>
        <v>0</v>
      </c>
      <c r="Q115" s="22">
        <f t="shared" si="120"/>
        <v>0</v>
      </c>
      <c r="R115" s="22">
        <f t="shared" si="120"/>
        <v>0</v>
      </c>
      <c r="S115" s="22">
        <f t="shared" si="120"/>
        <v>0</v>
      </c>
      <c r="T115" s="22">
        <f t="shared" si="120"/>
        <v>0</v>
      </c>
      <c r="U115" s="22">
        <f t="shared" si="120"/>
        <v>0</v>
      </c>
      <c r="V115" s="22">
        <f t="shared" ref="V115:X115" si="121">V80*$Y$43</f>
        <v>0</v>
      </c>
      <c r="W115" s="22">
        <f t="shared" si="121"/>
        <v>0</v>
      </c>
      <c r="X115" s="22">
        <f t="shared" si="121"/>
        <v>0</v>
      </c>
      <c r="Y115" s="22">
        <f t="shared" si="49"/>
        <v>5361.3468785284394</v>
      </c>
      <c r="Z115" s="42" t="s">
        <v>194</v>
      </c>
    </row>
    <row r="116" spans="2:26" ht="15" customHeight="1" outlineLevel="2" x14ac:dyDescent="0.3">
      <c r="B116" s="35" t="s">
        <v>186</v>
      </c>
      <c r="C116" s="13" t="s">
        <v>96</v>
      </c>
      <c r="D116" s="9" t="s">
        <v>103</v>
      </c>
      <c r="E116" s="22">
        <f>E80*$Y$45</f>
        <v>8935.5781308807327</v>
      </c>
      <c r="F116" s="22">
        <f t="shared" ref="F116:U116" si="122">F80*$Y$45</f>
        <v>0</v>
      </c>
      <c r="G116" s="22">
        <f t="shared" si="122"/>
        <v>0</v>
      </c>
      <c r="H116" s="22">
        <f t="shared" si="122"/>
        <v>0</v>
      </c>
      <c r="I116" s="22">
        <f t="shared" si="122"/>
        <v>0</v>
      </c>
      <c r="J116" s="22">
        <f t="shared" si="122"/>
        <v>0</v>
      </c>
      <c r="K116" s="22">
        <f t="shared" si="122"/>
        <v>0</v>
      </c>
      <c r="L116" s="22">
        <f t="shared" si="122"/>
        <v>0</v>
      </c>
      <c r="M116" s="22">
        <f t="shared" si="122"/>
        <v>0</v>
      </c>
      <c r="N116" s="22">
        <f t="shared" si="122"/>
        <v>0</v>
      </c>
      <c r="O116" s="22">
        <f t="shared" si="122"/>
        <v>0</v>
      </c>
      <c r="P116" s="22">
        <f t="shared" si="122"/>
        <v>0</v>
      </c>
      <c r="Q116" s="22">
        <f t="shared" si="122"/>
        <v>0</v>
      </c>
      <c r="R116" s="22">
        <f t="shared" si="122"/>
        <v>0</v>
      </c>
      <c r="S116" s="22">
        <f t="shared" si="122"/>
        <v>0</v>
      </c>
      <c r="T116" s="22">
        <f t="shared" si="122"/>
        <v>0</v>
      </c>
      <c r="U116" s="22">
        <f t="shared" si="122"/>
        <v>0</v>
      </c>
      <c r="V116" s="22">
        <f t="shared" ref="V116:X116" si="123">V80*$Y$45</f>
        <v>0</v>
      </c>
      <c r="W116" s="22">
        <f t="shared" si="123"/>
        <v>0</v>
      </c>
      <c r="X116" s="22">
        <f t="shared" si="123"/>
        <v>0</v>
      </c>
      <c r="Y116" s="22">
        <f t="shared" si="49"/>
        <v>8935.5781308807327</v>
      </c>
      <c r="Z116" s="42" t="s">
        <v>194</v>
      </c>
    </row>
    <row r="117" spans="2:26" ht="15" customHeight="1" outlineLevel="2" x14ac:dyDescent="0.3">
      <c r="B117" s="35" t="s">
        <v>186</v>
      </c>
      <c r="C117" s="13" t="s">
        <v>96</v>
      </c>
      <c r="D117" s="9" t="s">
        <v>104</v>
      </c>
      <c r="E117" s="22">
        <f>E78*$Y$47</f>
        <v>14752.828638262847</v>
      </c>
      <c r="F117" s="22">
        <f t="shared" ref="F117:U117" si="124">F78*$Y$47</f>
        <v>0</v>
      </c>
      <c r="G117" s="22">
        <f t="shared" si="124"/>
        <v>0</v>
      </c>
      <c r="H117" s="22">
        <f t="shared" si="124"/>
        <v>0</v>
      </c>
      <c r="I117" s="22">
        <f t="shared" si="124"/>
        <v>0</v>
      </c>
      <c r="J117" s="22">
        <f t="shared" si="124"/>
        <v>0</v>
      </c>
      <c r="K117" s="22">
        <f t="shared" si="124"/>
        <v>0</v>
      </c>
      <c r="L117" s="22">
        <f t="shared" si="124"/>
        <v>0</v>
      </c>
      <c r="M117" s="22">
        <f t="shared" si="124"/>
        <v>0</v>
      </c>
      <c r="N117" s="22">
        <f t="shared" si="124"/>
        <v>0</v>
      </c>
      <c r="O117" s="22">
        <f t="shared" si="124"/>
        <v>0</v>
      </c>
      <c r="P117" s="22">
        <f t="shared" si="124"/>
        <v>0</v>
      </c>
      <c r="Q117" s="22">
        <f t="shared" si="124"/>
        <v>0</v>
      </c>
      <c r="R117" s="22">
        <f t="shared" si="124"/>
        <v>0</v>
      </c>
      <c r="S117" s="22">
        <f t="shared" si="124"/>
        <v>0</v>
      </c>
      <c r="T117" s="22">
        <f t="shared" si="124"/>
        <v>0</v>
      </c>
      <c r="U117" s="22">
        <f t="shared" si="124"/>
        <v>0</v>
      </c>
      <c r="V117" s="22">
        <f t="shared" ref="V117:X117" si="125">V78*$Y$47</f>
        <v>0</v>
      </c>
      <c r="W117" s="22">
        <f t="shared" si="125"/>
        <v>0</v>
      </c>
      <c r="X117" s="22">
        <f t="shared" si="125"/>
        <v>0</v>
      </c>
      <c r="Y117" s="22">
        <f t="shared" si="49"/>
        <v>14752.828638262847</v>
      </c>
      <c r="Z117" s="42" t="s">
        <v>192</v>
      </c>
    </row>
    <row r="118" spans="2:26" ht="15" customHeight="1" outlineLevel="2" x14ac:dyDescent="0.3">
      <c r="B118" s="35" t="s">
        <v>186</v>
      </c>
      <c r="C118" s="13" t="s">
        <v>96</v>
      </c>
      <c r="D118" s="9" t="s">
        <v>105</v>
      </c>
      <c r="E118" s="22">
        <f>E79*$Y$47</f>
        <v>3389.0130569450243</v>
      </c>
      <c r="F118" s="22">
        <f t="shared" ref="F118:U118" si="126">F79*$Y$47</f>
        <v>0</v>
      </c>
      <c r="G118" s="22">
        <f t="shared" si="126"/>
        <v>0</v>
      </c>
      <c r="H118" s="22">
        <f t="shared" si="126"/>
        <v>0</v>
      </c>
      <c r="I118" s="22">
        <f t="shared" si="126"/>
        <v>0</v>
      </c>
      <c r="J118" s="22">
        <f t="shared" si="126"/>
        <v>0</v>
      </c>
      <c r="K118" s="22">
        <f t="shared" si="126"/>
        <v>0</v>
      </c>
      <c r="L118" s="22">
        <f t="shared" si="126"/>
        <v>0</v>
      </c>
      <c r="M118" s="22">
        <f t="shared" si="126"/>
        <v>0</v>
      </c>
      <c r="N118" s="22">
        <f t="shared" si="126"/>
        <v>0</v>
      </c>
      <c r="O118" s="22">
        <f t="shared" si="126"/>
        <v>0</v>
      </c>
      <c r="P118" s="22">
        <f t="shared" si="126"/>
        <v>0</v>
      </c>
      <c r="Q118" s="22">
        <f t="shared" si="126"/>
        <v>0</v>
      </c>
      <c r="R118" s="22">
        <f t="shared" si="126"/>
        <v>0</v>
      </c>
      <c r="S118" s="22">
        <f t="shared" si="126"/>
        <v>0</v>
      </c>
      <c r="T118" s="22">
        <f t="shared" si="126"/>
        <v>0</v>
      </c>
      <c r="U118" s="22">
        <f t="shared" si="126"/>
        <v>0</v>
      </c>
      <c r="V118" s="22">
        <f t="shared" ref="V118:X118" si="127">V79*$Y$47</f>
        <v>0</v>
      </c>
      <c r="W118" s="22">
        <f t="shared" si="127"/>
        <v>0</v>
      </c>
      <c r="X118" s="22">
        <f t="shared" si="127"/>
        <v>0</v>
      </c>
      <c r="Y118" s="22">
        <f t="shared" si="49"/>
        <v>3389.0130569450243</v>
      </c>
      <c r="Z118" s="42" t="s">
        <v>193</v>
      </c>
    </row>
    <row r="119" spans="2:26" ht="15" customHeight="1" outlineLevel="2" x14ac:dyDescent="0.3">
      <c r="B119" s="35" t="s">
        <v>186</v>
      </c>
      <c r="C119" s="13" t="s">
        <v>96</v>
      </c>
      <c r="D119" s="9" t="s">
        <v>106</v>
      </c>
      <c r="E119" s="22">
        <f>E80*$Y$47</f>
        <v>5361.3468785284394</v>
      </c>
      <c r="F119" s="22">
        <f t="shared" ref="F119:U119" si="128">F80*$Y$47</f>
        <v>0</v>
      </c>
      <c r="G119" s="22">
        <f t="shared" si="128"/>
        <v>0</v>
      </c>
      <c r="H119" s="22">
        <f t="shared" si="128"/>
        <v>0</v>
      </c>
      <c r="I119" s="22">
        <f t="shared" si="128"/>
        <v>0</v>
      </c>
      <c r="J119" s="22">
        <f t="shared" si="128"/>
        <v>0</v>
      </c>
      <c r="K119" s="22">
        <f t="shared" si="128"/>
        <v>0</v>
      </c>
      <c r="L119" s="22">
        <f t="shared" si="128"/>
        <v>0</v>
      </c>
      <c r="M119" s="22">
        <f t="shared" si="128"/>
        <v>0</v>
      </c>
      <c r="N119" s="22">
        <f t="shared" si="128"/>
        <v>0</v>
      </c>
      <c r="O119" s="22">
        <f t="shared" si="128"/>
        <v>0</v>
      </c>
      <c r="P119" s="22">
        <f t="shared" si="128"/>
        <v>0</v>
      </c>
      <c r="Q119" s="22">
        <f t="shared" si="128"/>
        <v>0</v>
      </c>
      <c r="R119" s="22">
        <f t="shared" si="128"/>
        <v>0</v>
      </c>
      <c r="S119" s="22">
        <f t="shared" si="128"/>
        <v>0</v>
      </c>
      <c r="T119" s="22">
        <f t="shared" si="128"/>
        <v>0</v>
      </c>
      <c r="U119" s="22">
        <f t="shared" si="128"/>
        <v>0</v>
      </c>
      <c r="V119" s="22">
        <f t="shared" ref="V119:X119" si="129">V80*$Y$47</f>
        <v>0</v>
      </c>
      <c r="W119" s="22">
        <f t="shared" si="129"/>
        <v>0</v>
      </c>
      <c r="X119" s="22">
        <f t="shared" si="129"/>
        <v>0</v>
      </c>
      <c r="Y119" s="22">
        <f t="shared" si="49"/>
        <v>5361.3468785284394</v>
      </c>
      <c r="Z119" s="42" t="s">
        <v>194</v>
      </c>
    </row>
    <row r="120" spans="2:26" ht="15" customHeight="1" outlineLevel="2" x14ac:dyDescent="0.3">
      <c r="B120" s="35" t="s">
        <v>186</v>
      </c>
      <c r="C120" s="13" t="s">
        <v>96</v>
      </c>
      <c r="D120" s="9" t="s">
        <v>107</v>
      </c>
      <c r="E120" s="22">
        <f>E78*$Y$49</f>
        <v>11986.673268588562</v>
      </c>
      <c r="F120" s="22">
        <f t="shared" ref="F120:U120" si="130">F78*$Y$49</f>
        <v>0</v>
      </c>
      <c r="G120" s="22">
        <f t="shared" si="130"/>
        <v>0</v>
      </c>
      <c r="H120" s="22">
        <f t="shared" si="130"/>
        <v>0</v>
      </c>
      <c r="I120" s="22">
        <f t="shared" si="130"/>
        <v>0</v>
      </c>
      <c r="J120" s="22">
        <f t="shared" si="130"/>
        <v>0</v>
      </c>
      <c r="K120" s="22">
        <f t="shared" si="130"/>
        <v>0</v>
      </c>
      <c r="L120" s="22">
        <f t="shared" si="130"/>
        <v>0</v>
      </c>
      <c r="M120" s="22">
        <f t="shared" si="130"/>
        <v>0</v>
      </c>
      <c r="N120" s="22">
        <f t="shared" si="130"/>
        <v>0</v>
      </c>
      <c r="O120" s="22">
        <f t="shared" si="130"/>
        <v>0</v>
      </c>
      <c r="P120" s="22">
        <f t="shared" si="130"/>
        <v>0</v>
      </c>
      <c r="Q120" s="22">
        <f t="shared" si="130"/>
        <v>0</v>
      </c>
      <c r="R120" s="22">
        <f t="shared" si="130"/>
        <v>0</v>
      </c>
      <c r="S120" s="22">
        <f t="shared" si="130"/>
        <v>0</v>
      </c>
      <c r="T120" s="22">
        <f t="shared" si="130"/>
        <v>0</v>
      </c>
      <c r="U120" s="22">
        <f t="shared" si="130"/>
        <v>0</v>
      </c>
      <c r="V120" s="22">
        <f t="shared" ref="V120:X120" si="131">V78*$Y$49</f>
        <v>0</v>
      </c>
      <c r="W120" s="22">
        <f t="shared" si="131"/>
        <v>0</v>
      </c>
      <c r="X120" s="22">
        <f t="shared" si="131"/>
        <v>0</v>
      </c>
      <c r="Y120" s="22">
        <f t="shared" si="49"/>
        <v>11986.673268588562</v>
      </c>
      <c r="Z120" s="42" t="s">
        <v>192</v>
      </c>
    </row>
    <row r="121" spans="2:26" ht="15" customHeight="1" outlineLevel="2" x14ac:dyDescent="0.3">
      <c r="B121" s="35" t="s">
        <v>186</v>
      </c>
      <c r="C121" s="13" t="s">
        <v>96</v>
      </c>
      <c r="D121" s="9" t="s">
        <v>108</v>
      </c>
      <c r="E121" s="22">
        <f>E79*$Y$49</f>
        <v>2753.5731087678323</v>
      </c>
      <c r="F121" s="22">
        <f t="shared" ref="F121:U121" si="132">F79*$Y$49</f>
        <v>0</v>
      </c>
      <c r="G121" s="22">
        <f t="shared" si="132"/>
        <v>0</v>
      </c>
      <c r="H121" s="22">
        <f t="shared" si="132"/>
        <v>0</v>
      </c>
      <c r="I121" s="22">
        <f t="shared" si="132"/>
        <v>0</v>
      </c>
      <c r="J121" s="22">
        <f t="shared" si="132"/>
        <v>0</v>
      </c>
      <c r="K121" s="22">
        <f t="shared" si="132"/>
        <v>0</v>
      </c>
      <c r="L121" s="22">
        <f t="shared" si="132"/>
        <v>0</v>
      </c>
      <c r="M121" s="22">
        <f t="shared" si="132"/>
        <v>0</v>
      </c>
      <c r="N121" s="22">
        <f t="shared" si="132"/>
        <v>0</v>
      </c>
      <c r="O121" s="22">
        <f t="shared" si="132"/>
        <v>0</v>
      </c>
      <c r="P121" s="22">
        <f t="shared" si="132"/>
        <v>0</v>
      </c>
      <c r="Q121" s="22">
        <f t="shared" si="132"/>
        <v>0</v>
      </c>
      <c r="R121" s="22">
        <f t="shared" si="132"/>
        <v>0</v>
      </c>
      <c r="S121" s="22">
        <f t="shared" si="132"/>
        <v>0</v>
      </c>
      <c r="T121" s="22">
        <f t="shared" si="132"/>
        <v>0</v>
      </c>
      <c r="U121" s="22">
        <f t="shared" si="132"/>
        <v>0</v>
      </c>
      <c r="V121" s="22">
        <f t="shared" ref="V121:X121" si="133">V79*$Y$49</f>
        <v>0</v>
      </c>
      <c r="W121" s="22">
        <f t="shared" si="133"/>
        <v>0</v>
      </c>
      <c r="X121" s="22">
        <f t="shared" si="133"/>
        <v>0</v>
      </c>
      <c r="Y121" s="22">
        <f t="shared" si="49"/>
        <v>2753.5731087678323</v>
      </c>
      <c r="Z121" s="42" t="s">
        <v>193</v>
      </c>
    </row>
    <row r="122" spans="2:26" ht="15" customHeight="1" outlineLevel="2" x14ac:dyDescent="0.3">
      <c r="B122" s="35" t="s">
        <v>186</v>
      </c>
      <c r="C122" s="13" t="s">
        <v>96</v>
      </c>
      <c r="D122" s="9" t="s">
        <v>109</v>
      </c>
      <c r="E122" s="22">
        <f>E80*$Y$49</f>
        <v>4356.0943388043561</v>
      </c>
      <c r="F122" s="22">
        <f t="shared" ref="F122:U122" si="134">F80*$Y$49</f>
        <v>0</v>
      </c>
      <c r="G122" s="22">
        <f t="shared" si="134"/>
        <v>0</v>
      </c>
      <c r="H122" s="22">
        <f t="shared" si="134"/>
        <v>0</v>
      </c>
      <c r="I122" s="22">
        <f t="shared" si="134"/>
        <v>0</v>
      </c>
      <c r="J122" s="22">
        <f t="shared" si="134"/>
        <v>0</v>
      </c>
      <c r="K122" s="22">
        <f t="shared" si="134"/>
        <v>0</v>
      </c>
      <c r="L122" s="22">
        <f t="shared" si="134"/>
        <v>0</v>
      </c>
      <c r="M122" s="22">
        <f t="shared" si="134"/>
        <v>0</v>
      </c>
      <c r="N122" s="22">
        <f t="shared" si="134"/>
        <v>0</v>
      </c>
      <c r="O122" s="22">
        <f t="shared" si="134"/>
        <v>0</v>
      </c>
      <c r="P122" s="22">
        <f t="shared" si="134"/>
        <v>0</v>
      </c>
      <c r="Q122" s="22">
        <f t="shared" si="134"/>
        <v>0</v>
      </c>
      <c r="R122" s="22">
        <f t="shared" si="134"/>
        <v>0</v>
      </c>
      <c r="S122" s="22">
        <f t="shared" si="134"/>
        <v>0</v>
      </c>
      <c r="T122" s="22">
        <f t="shared" si="134"/>
        <v>0</v>
      </c>
      <c r="U122" s="22">
        <f t="shared" si="134"/>
        <v>0</v>
      </c>
      <c r="V122" s="22">
        <f t="shared" ref="V122:X122" si="135">V80*$Y$49</f>
        <v>0</v>
      </c>
      <c r="W122" s="22">
        <f t="shared" si="135"/>
        <v>0</v>
      </c>
      <c r="X122" s="22">
        <f t="shared" si="135"/>
        <v>0</v>
      </c>
      <c r="Y122" s="22">
        <f t="shared" si="49"/>
        <v>4356.0943388043561</v>
      </c>
      <c r="Z122" s="42" t="s">
        <v>194</v>
      </c>
    </row>
    <row r="123" spans="2:26" ht="15" customHeight="1" outlineLevel="2" x14ac:dyDescent="0.3">
      <c r="B123" s="35" t="s">
        <v>186</v>
      </c>
      <c r="C123" s="13" t="s">
        <v>96</v>
      </c>
      <c r="D123" s="9" t="s">
        <v>138</v>
      </c>
      <c r="E123" s="22">
        <f>E79*$Y$51</f>
        <v>0</v>
      </c>
      <c r="F123" s="22">
        <f t="shared" ref="F123:U123" si="136">F79*$Y$51</f>
        <v>0</v>
      </c>
      <c r="G123" s="22">
        <f t="shared" si="136"/>
        <v>0</v>
      </c>
      <c r="H123" s="22">
        <f t="shared" si="136"/>
        <v>0</v>
      </c>
      <c r="I123" s="22">
        <f t="shared" si="136"/>
        <v>0</v>
      </c>
      <c r="J123" s="22">
        <f t="shared" si="136"/>
        <v>0</v>
      </c>
      <c r="K123" s="22">
        <f t="shared" si="136"/>
        <v>0</v>
      </c>
      <c r="L123" s="22">
        <f t="shared" si="136"/>
        <v>0</v>
      </c>
      <c r="M123" s="22">
        <f t="shared" si="136"/>
        <v>0</v>
      </c>
      <c r="N123" s="22">
        <f t="shared" si="136"/>
        <v>0</v>
      </c>
      <c r="O123" s="22">
        <f t="shared" si="136"/>
        <v>0</v>
      </c>
      <c r="P123" s="22">
        <f t="shared" si="136"/>
        <v>0</v>
      </c>
      <c r="Q123" s="22">
        <f t="shared" si="136"/>
        <v>0</v>
      </c>
      <c r="R123" s="22">
        <f t="shared" si="136"/>
        <v>0</v>
      </c>
      <c r="S123" s="22">
        <f t="shared" si="136"/>
        <v>0</v>
      </c>
      <c r="T123" s="22">
        <f t="shared" si="136"/>
        <v>0</v>
      </c>
      <c r="U123" s="22">
        <f t="shared" si="136"/>
        <v>0</v>
      </c>
      <c r="V123" s="22">
        <f t="shared" ref="V123:X123" si="137">V79*$Y$51</f>
        <v>0</v>
      </c>
      <c r="W123" s="22">
        <f t="shared" si="137"/>
        <v>0</v>
      </c>
      <c r="X123" s="22">
        <f t="shared" si="137"/>
        <v>0</v>
      </c>
      <c r="Y123" s="22">
        <f t="shared" si="49"/>
        <v>0</v>
      </c>
      <c r="Z123" s="42" t="s">
        <v>193</v>
      </c>
    </row>
    <row r="124" spans="2:26" ht="15" customHeight="1" outlineLevel="2" x14ac:dyDescent="0.3">
      <c r="B124" s="35" t="s">
        <v>186</v>
      </c>
      <c r="C124" s="13" t="s">
        <v>96</v>
      </c>
      <c r="D124" s="9" t="s">
        <v>110</v>
      </c>
      <c r="E124" s="22">
        <f>E80*$Y$53</f>
        <v>8488.7992243366953</v>
      </c>
      <c r="F124" s="22">
        <f t="shared" ref="F124:U124" si="138">F80*$Y$53</f>
        <v>0</v>
      </c>
      <c r="G124" s="22">
        <f t="shared" si="138"/>
        <v>0</v>
      </c>
      <c r="H124" s="22">
        <f t="shared" si="138"/>
        <v>0</v>
      </c>
      <c r="I124" s="22">
        <f t="shared" si="138"/>
        <v>0</v>
      </c>
      <c r="J124" s="22">
        <f t="shared" si="138"/>
        <v>0</v>
      </c>
      <c r="K124" s="22">
        <f t="shared" si="138"/>
        <v>0</v>
      </c>
      <c r="L124" s="22">
        <f t="shared" si="138"/>
        <v>0</v>
      </c>
      <c r="M124" s="22">
        <f t="shared" si="138"/>
        <v>0</v>
      </c>
      <c r="N124" s="22">
        <f t="shared" si="138"/>
        <v>0</v>
      </c>
      <c r="O124" s="22">
        <f t="shared" si="138"/>
        <v>0</v>
      </c>
      <c r="P124" s="22">
        <f t="shared" si="138"/>
        <v>0</v>
      </c>
      <c r="Q124" s="22">
        <f t="shared" si="138"/>
        <v>0</v>
      </c>
      <c r="R124" s="22">
        <f t="shared" si="138"/>
        <v>0</v>
      </c>
      <c r="S124" s="22">
        <f t="shared" si="138"/>
        <v>0</v>
      </c>
      <c r="T124" s="22">
        <f t="shared" si="138"/>
        <v>0</v>
      </c>
      <c r="U124" s="22">
        <f t="shared" si="138"/>
        <v>0</v>
      </c>
      <c r="V124" s="22">
        <f t="shared" ref="V124:X124" si="139">V80*$Y$53</f>
        <v>0</v>
      </c>
      <c r="W124" s="22">
        <f t="shared" si="139"/>
        <v>0</v>
      </c>
      <c r="X124" s="22">
        <f t="shared" si="139"/>
        <v>0</v>
      </c>
      <c r="Y124" s="22">
        <f t="shared" si="49"/>
        <v>8488.7992243366953</v>
      </c>
      <c r="Z124" s="42" t="s">
        <v>194</v>
      </c>
    </row>
    <row r="125" spans="2:26" ht="15" customHeight="1" outlineLevel="2" x14ac:dyDescent="0.3">
      <c r="B125" s="35" t="s">
        <v>186</v>
      </c>
      <c r="C125" s="13" t="s">
        <v>96</v>
      </c>
      <c r="D125" s="9" t="s">
        <v>139</v>
      </c>
      <c r="E125" s="22">
        <f>E78*$Y$55</f>
        <v>0</v>
      </c>
      <c r="F125" s="22">
        <f t="shared" ref="F125:U125" si="140">F78*$Y$55</f>
        <v>0</v>
      </c>
      <c r="G125" s="22">
        <f t="shared" si="140"/>
        <v>0</v>
      </c>
      <c r="H125" s="22">
        <f t="shared" si="140"/>
        <v>0</v>
      </c>
      <c r="I125" s="22">
        <f t="shared" si="140"/>
        <v>0</v>
      </c>
      <c r="J125" s="22">
        <f t="shared" si="140"/>
        <v>0</v>
      </c>
      <c r="K125" s="22">
        <f t="shared" si="140"/>
        <v>0</v>
      </c>
      <c r="L125" s="22">
        <f t="shared" si="140"/>
        <v>0</v>
      </c>
      <c r="M125" s="22">
        <f t="shared" si="140"/>
        <v>0</v>
      </c>
      <c r="N125" s="22">
        <f t="shared" si="140"/>
        <v>0</v>
      </c>
      <c r="O125" s="22">
        <f t="shared" si="140"/>
        <v>0</v>
      </c>
      <c r="P125" s="22">
        <f t="shared" si="140"/>
        <v>0</v>
      </c>
      <c r="Q125" s="22">
        <f t="shared" si="140"/>
        <v>0</v>
      </c>
      <c r="R125" s="22">
        <f t="shared" si="140"/>
        <v>0</v>
      </c>
      <c r="S125" s="22">
        <f t="shared" si="140"/>
        <v>0</v>
      </c>
      <c r="T125" s="22">
        <f t="shared" si="140"/>
        <v>0</v>
      </c>
      <c r="U125" s="22">
        <f t="shared" si="140"/>
        <v>0</v>
      </c>
      <c r="V125" s="22">
        <f t="shared" ref="V125:X125" si="141">V78*$Y$55</f>
        <v>0</v>
      </c>
      <c r="W125" s="22">
        <f t="shared" si="141"/>
        <v>0</v>
      </c>
      <c r="X125" s="22">
        <f t="shared" si="141"/>
        <v>0</v>
      </c>
      <c r="Y125" s="22">
        <f t="shared" si="49"/>
        <v>0</v>
      </c>
      <c r="Z125" s="42" t="s">
        <v>192</v>
      </c>
    </row>
    <row r="126" spans="2:26" ht="15" customHeight="1" outlineLevel="2" x14ac:dyDescent="0.3">
      <c r="B126" s="35" t="s">
        <v>186</v>
      </c>
      <c r="C126" s="13" t="s">
        <v>96</v>
      </c>
      <c r="D126" s="9" t="s">
        <v>140</v>
      </c>
      <c r="E126" s="22">
        <f>E79*$Y$55</f>
        <v>0</v>
      </c>
      <c r="F126" s="22">
        <f t="shared" ref="F126:U126" si="142">F79*$Y$55</f>
        <v>0</v>
      </c>
      <c r="G126" s="22">
        <f t="shared" si="142"/>
        <v>0</v>
      </c>
      <c r="H126" s="22">
        <f t="shared" si="142"/>
        <v>0</v>
      </c>
      <c r="I126" s="22">
        <f t="shared" si="142"/>
        <v>0</v>
      </c>
      <c r="J126" s="22">
        <f t="shared" si="142"/>
        <v>0</v>
      </c>
      <c r="K126" s="22">
        <f t="shared" si="142"/>
        <v>0</v>
      </c>
      <c r="L126" s="22">
        <f t="shared" si="142"/>
        <v>0</v>
      </c>
      <c r="M126" s="22">
        <f t="shared" si="142"/>
        <v>0</v>
      </c>
      <c r="N126" s="22">
        <f t="shared" si="142"/>
        <v>0</v>
      </c>
      <c r="O126" s="22">
        <f t="shared" si="142"/>
        <v>0</v>
      </c>
      <c r="P126" s="22">
        <f t="shared" si="142"/>
        <v>0</v>
      </c>
      <c r="Q126" s="22">
        <f t="shared" si="142"/>
        <v>0</v>
      </c>
      <c r="R126" s="22">
        <f t="shared" si="142"/>
        <v>0</v>
      </c>
      <c r="S126" s="22">
        <f t="shared" si="142"/>
        <v>0</v>
      </c>
      <c r="T126" s="22">
        <f t="shared" si="142"/>
        <v>0</v>
      </c>
      <c r="U126" s="22">
        <f t="shared" si="142"/>
        <v>0</v>
      </c>
      <c r="V126" s="22">
        <f t="shared" ref="V126:X126" si="143">V79*$Y$55</f>
        <v>0</v>
      </c>
      <c r="W126" s="22">
        <f t="shared" si="143"/>
        <v>0</v>
      </c>
      <c r="X126" s="22">
        <f t="shared" si="143"/>
        <v>0</v>
      </c>
      <c r="Y126" s="22">
        <f t="shared" si="49"/>
        <v>0</v>
      </c>
      <c r="Z126" s="42" t="s">
        <v>193</v>
      </c>
    </row>
    <row r="127" spans="2:26" ht="15" customHeight="1" outlineLevel="2" x14ac:dyDescent="0.3">
      <c r="B127" s="35" t="s">
        <v>186</v>
      </c>
      <c r="C127" s="13" t="s">
        <v>96</v>
      </c>
      <c r="D127" s="9" t="s">
        <v>141</v>
      </c>
      <c r="E127" s="22">
        <f>E80*$Y$55</f>
        <v>0</v>
      </c>
      <c r="F127" s="22">
        <f t="shared" ref="F127:U127" si="144">F80*$Y$55</f>
        <v>0</v>
      </c>
      <c r="G127" s="22">
        <f t="shared" si="144"/>
        <v>0</v>
      </c>
      <c r="H127" s="22">
        <f t="shared" si="144"/>
        <v>0</v>
      </c>
      <c r="I127" s="22">
        <f t="shared" si="144"/>
        <v>0</v>
      </c>
      <c r="J127" s="22">
        <f t="shared" si="144"/>
        <v>0</v>
      </c>
      <c r="K127" s="22">
        <f t="shared" si="144"/>
        <v>0</v>
      </c>
      <c r="L127" s="22">
        <f t="shared" si="144"/>
        <v>0</v>
      </c>
      <c r="M127" s="22">
        <f t="shared" si="144"/>
        <v>0</v>
      </c>
      <c r="N127" s="22">
        <f t="shared" si="144"/>
        <v>0</v>
      </c>
      <c r="O127" s="22">
        <f t="shared" si="144"/>
        <v>0</v>
      </c>
      <c r="P127" s="22">
        <f t="shared" si="144"/>
        <v>0</v>
      </c>
      <c r="Q127" s="22">
        <f t="shared" si="144"/>
        <v>0</v>
      </c>
      <c r="R127" s="22">
        <f t="shared" si="144"/>
        <v>0</v>
      </c>
      <c r="S127" s="22">
        <f t="shared" si="144"/>
        <v>0</v>
      </c>
      <c r="T127" s="22">
        <f t="shared" si="144"/>
        <v>0</v>
      </c>
      <c r="U127" s="22">
        <f t="shared" si="144"/>
        <v>0</v>
      </c>
      <c r="V127" s="22">
        <f t="shared" ref="V127:X127" si="145">V80*$Y$55</f>
        <v>0</v>
      </c>
      <c r="W127" s="22">
        <f t="shared" si="145"/>
        <v>0</v>
      </c>
      <c r="X127" s="22">
        <f t="shared" si="145"/>
        <v>0</v>
      </c>
      <c r="Y127" s="22">
        <f t="shared" si="49"/>
        <v>0</v>
      </c>
      <c r="Z127" s="42" t="s">
        <v>194</v>
      </c>
    </row>
    <row r="128" spans="2:26" ht="15" customHeight="1" outlineLevel="2" x14ac:dyDescent="0.3">
      <c r="B128" s="35" t="s">
        <v>186</v>
      </c>
      <c r="C128" s="13" t="s">
        <v>96</v>
      </c>
      <c r="D128" s="9" t="s">
        <v>111</v>
      </c>
      <c r="E128" s="22">
        <f>E78*$Y$57</f>
        <v>19670.438184350463</v>
      </c>
      <c r="F128" s="22">
        <f t="shared" ref="F128:U128" si="146">F78*$Y$57</f>
        <v>0</v>
      </c>
      <c r="G128" s="22">
        <f t="shared" si="146"/>
        <v>0</v>
      </c>
      <c r="H128" s="22">
        <f t="shared" si="146"/>
        <v>0</v>
      </c>
      <c r="I128" s="22">
        <f t="shared" si="146"/>
        <v>0</v>
      </c>
      <c r="J128" s="22">
        <f t="shared" si="146"/>
        <v>0</v>
      </c>
      <c r="K128" s="22">
        <f t="shared" si="146"/>
        <v>0</v>
      </c>
      <c r="L128" s="22">
        <f t="shared" si="146"/>
        <v>0</v>
      </c>
      <c r="M128" s="22">
        <f t="shared" si="146"/>
        <v>0</v>
      </c>
      <c r="N128" s="22">
        <f t="shared" si="146"/>
        <v>0</v>
      </c>
      <c r="O128" s="22">
        <f t="shared" si="146"/>
        <v>0</v>
      </c>
      <c r="P128" s="22">
        <f t="shared" si="146"/>
        <v>0</v>
      </c>
      <c r="Q128" s="22">
        <f t="shared" si="146"/>
        <v>0</v>
      </c>
      <c r="R128" s="22">
        <f t="shared" si="146"/>
        <v>0</v>
      </c>
      <c r="S128" s="22">
        <f t="shared" si="146"/>
        <v>0</v>
      </c>
      <c r="T128" s="22">
        <f t="shared" si="146"/>
        <v>0</v>
      </c>
      <c r="U128" s="22">
        <f t="shared" si="146"/>
        <v>0</v>
      </c>
      <c r="V128" s="22">
        <f t="shared" ref="V128:X128" si="147">V78*$Y$57</f>
        <v>0</v>
      </c>
      <c r="W128" s="22">
        <f t="shared" si="147"/>
        <v>0</v>
      </c>
      <c r="X128" s="22">
        <f t="shared" si="147"/>
        <v>0</v>
      </c>
      <c r="Y128" s="22">
        <f t="shared" si="49"/>
        <v>19670.438184350463</v>
      </c>
      <c r="Z128" s="42" t="s">
        <v>192</v>
      </c>
    </row>
    <row r="129" spans="2:26" ht="15" customHeight="1" outlineLevel="2" x14ac:dyDescent="0.3">
      <c r="B129" s="35" t="s">
        <v>186</v>
      </c>
      <c r="C129" s="13" t="s">
        <v>96</v>
      </c>
      <c r="D129" s="9" t="s">
        <v>112</v>
      </c>
      <c r="E129" s="22">
        <f>E78*$Y$59</f>
        <v>18441.035797828557</v>
      </c>
      <c r="F129" s="22">
        <f t="shared" ref="F129:U129" si="148">F78*$Y$59</f>
        <v>0</v>
      </c>
      <c r="G129" s="22">
        <f t="shared" si="148"/>
        <v>0</v>
      </c>
      <c r="H129" s="22">
        <f t="shared" si="148"/>
        <v>0</v>
      </c>
      <c r="I129" s="22">
        <f t="shared" si="148"/>
        <v>0</v>
      </c>
      <c r="J129" s="22">
        <f t="shared" si="148"/>
        <v>0</v>
      </c>
      <c r="K129" s="22">
        <f t="shared" si="148"/>
        <v>0</v>
      </c>
      <c r="L129" s="22">
        <f t="shared" si="148"/>
        <v>0</v>
      </c>
      <c r="M129" s="22">
        <f t="shared" si="148"/>
        <v>0</v>
      </c>
      <c r="N129" s="22">
        <f t="shared" si="148"/>
        <v>0</v>
      </c>
      <c r="O129" s="22">
        <f t="shared" si="148"/>
        <v>0</v>
      </c>
      <c r="P129" s="22">
        <f t="shared" si="148"/>
        <v>0</v>
      </c>
      <c r="Q129" s="22">
        <f t="shared" si="148"/>
        <v>0</v>
      </c>
      <c r="R129" s="22">
        <f t="shared" si="148"/>
        <v>0</v>
      </c>
      <c r="S129" s="22">
        <f t="shared" si="148"/>
        <v>0</v>
      </c>
      <c r="T129" s="22">
        <f t="shared" si="148"/>
        <v>0</v>
      </c>
      <c r="U129" s="22">
        <f t="shared" si="148"/>
        <v>0</v>
      </c>
      <c r="V129" s="22">
        <f t="shared" ref="V129:X129" si="149">V78*$Y$59</f>
        <v>0</v>
      </c>
      <c r="W129" s="22">
        <f t="shared" si="149"/>
        <v>0</v>
      </c>
      <c r="X129" s="22">
        <f t="shared" si="149"/>
        <v>0</v>
      </c>
      <c r="Y129" s="22">
        <f t="shared" si="49"/>
        <v>18441.035797828557</v>
      </c>
      <c r="Z129" s="42" t="s">
        <v>192</v>
      </c>
    </row>
    <row r="130" spans="2:26" ht="15" customHeight="1" outlineLevel="2" x14ac:dyDescent="0.3">
      <c r="B130" s="35" t="s">
        <v>186</v>
      </c>
      <c r="C130" s="13" t="s">
        <v>96</v>
      </c>
      <c r="D130" s="9" t="s">
        <v>142</v>
      </c>
      <c r="E130" s="22">
        <f>E79*$Y$61</f>
        <v>0</v>
      </c>
      <c r="F130" s="22">
        <f t="shared" ref="F130:U130" si="150">F79*$Y$61</f>
        <v>0</v>
      </c>
      <c r="G130" s="22">
        <f t="shared" si="150"/>
        <v>0</v>
      </c>
      <c r="H130" s="22">
        <f t="shared" si="150"/>
        <v>0</v>
      </c>
      <c r="I130" s="22">
        <f t="shared" si="150"/>
        <v>0</v>
      </c>
      <c r="J130" s="22">
        <f t="shared" si="150"/>
        <v>0</v>
      </c>
      <c r="K130" s="22">
        <f t="shared" si="150"/>
        <v>0</v>
      </c>
      <c r="L130" s="22">
        <f t="shared" si="150"/>
        <v>0</v>
      </c>
      <c r="M130" s="22">
        <f t="shared" si="150"/>
        <v>0</v>
      </c>
      <c r="N130" s="22">
        <f t="shared" si="150"/>
        <v>0</v>
      </c>
      <c r="O130" s="22">
        <f t="shared" si="150"/>
        <v>0</v>
      </c>
      <c r="P130" s="22">
        <f t="shared" si="150"/>
        <v>0</v>
      </c>
      <c r="Q130" s="22">
        <f t="shared" si="150"/>
        <v>0</v>
      </c>
      <c r="R130" s="22">
        <f t="shared" si="150"/>
        <v>0</v>
      </c>
      <c r="S130" s="22">
        <f t="shared" si="150"/>
        <v>0</v>
      </c>
      <c r="T130" s="22">
        <f t="shared" si="150"/>
        <v>0</v>
      </c>
      <c r="U130" s="22">
        <f t="shared" si="150"/>
        <v>0</v>
      </c>
      <c r="V130" s="22">
        <f t="shared" ref="V130:X130" si="151">V79*$Y$61</f>
        <v>0</v>
      </c>
      <c r="W130" s="22">
        <f t="shared" si="151"/>
        <v>0</v>
      </c>
      <c r="X130" s="22">
        <f t="shared" si="151"/>
        <v>0</v>
      </c>
      <c r="Y130" s="22">
        <f t="shared" si="49"/>
        <v>0</v>
      </c>
      <c r="Z130" s="42" t="s">
        <v>193</v>
      </c>
    </row>
    <row r="131" spans="2:26" ht="15" customHeight="1" outlineLevel="2" x14ac:dyDescent="0.3">
      <c r="B131" s="35" t="s">
        <v>186</v>
      </c>
      <c r="C131" s="13" t="s">
        <v>96</v>
      </c>
      <c r="D131" s="9" t="s">
        <v>143</v>
      </c>
      <c r="E131" s="22">
        <f>E80*$Y$63</f>
        <v>0</v>
      </c>
      <c r="F131" s="22">
        <f t="shared" ref="F131:U131" si="152">F80*$Y$63</f>
        <v>0</v>
      </c>
      <c r="G131" s="22">
        <f t="shared" si="152"/>
        <v>0</v>
      </c>
      <c r="H131" s="22">
        <f t="shared" si="152"/>
        <v>0</v>
      </c>
      <c r="I131" s="22">
        <f t="shared" si="152"/>
        <v>0</v>
      </c>
      <c r="J131" s="22">
        <f t="shared" si="152"/>
        <v>0</v>
      </c>
      <c r="K131" s="22">
        <f t="shared" si="152"/>
        <v>0</v>
      </c>
      <c r="L131" s="22">
        <f t="shared" si="152"/>
        <v>0</v>
      </c>
      <c r="M131" s="22">
        <f t="shared" si="152"/>
        <v>0</v>
      </c>
      <c r="N131" s="22">
        <f t="shared" si="152"/>
        <v>0</v>
      </c>
      <c r="O131" s="22">
        <f t="shared" si="152"/>
        <v>0</v>
      </c>
      <c r="P131" s="22">
        <f t="shared" si="152"/>
        <v>0</v>
      </c>
      <c r="Q131" s="22">
        <f t="shared" si="152"/>
        <v>0</v>
      </c>
      <c r="R131" s="22">
        <f t="shared" si="152"/>
        <v>0</v>
      </c>
      <c r="S131" s="22">
        <f t="shared" si="152"/>
        <v>0</v>
      </c>
      <c r="T131" s="22">
        <f t="shared" si="152"/>
        <v>0</v>
      </c>
      <c r="U131" s="22">
        <f t="shared" si="152"/>
        <v>0</v>
      </c>
      <c r="V131" s="22">
        <f t="shared" ref="V131:X131" si="153">V80*$Y$63</f>
        <v>0</v>
      </c>
      <c r="W131" s="22">
        <f t="shared" si="153"/>
        <v>0</v>
      </c>
      <c r="X131" s="22">
        <f t="shared" si="153"/>
        <v>0</v>
      </c>
      <c r="Y131" s="22">
        <f t="shared" si="49"/>
        <v>0</v>
      </c>
      <c r="Z131" s="42" t="s">
        <v>194</v>
      </c>
    </row>
    <row r="132" spans="2:26" ht="15" customHeight="1" outlineLevel="2" x14ac:dyDescent="0.3">
      <c r="B132" s="35" t="s">
        <v>186</v>
      </c>
      <c r="C132" s="13" t="s">
        <v>96</v>
      </c>
      <c r="D132" s="9" t="s">
        <v>144</v>
      </c>
      <c r="E132" s="22">
        <f>E80*$Y$67</f>
        <v>0</v>
      </c>
      <c r="F132" s="22">
        <f t="shared" ref="F132:U132" si="154">F80*$Y$67</f>
        <v>0</v>
      </c>
      <c r="G132" s="22">
        <f t="shared" si="154"/>
        <v>0</v>
      </c>
      <c r="H132" s="22">
        <f t="shared" si="154"/>
        <v>0</v>
      </c>
      <c r="I132" s="22">
        <f t="shared" si="154"/>
        <v>0</v>
      </c>
      <c r="J132" s="22">
        <f t="shared" si="154"/>
        <v>0</v>
      </c>
      <c r="K132" s="22">
        <f t="shared" si="154"/>
        <v>0</v>
      </c>
      <c r="L132" s="22">
        <f t="shared" si="154"/>
        <v>0</v>
      </c>
      <c r="M132" s="22">
        <f t="shared" si="154"/>
        <v>0</v>
      </c>
      <c r="N132" s="22">
        <f t="shared" si="154"/>
        <v>0</v>
      </c>
      <c r="O132" s="22">
        <f t="shared" si="154"/>
        <v>0</v>
      </c>
      <c r="P132" s="22">
        <f t="shared" si="154"/>
        <v>0</v>
      </c>
      <c r="Q132" s="22">
        <f t="shared" si="154"/>
        <v>0</v>
      </c>
      <c r="R132" s="22">
        <f t="shared" si="154"/>
        <v>0</v>
      </c>
      <c r="S132" s="22">
        <f t="shared" si="154"/>
        <v>0</v>
      </c>
      <c r="T132" s="22">
        <f t="shared" si="154"/>
        <v>0</v>
      </c>
      <c r="U132" s="22">
        <f t="shared" si="154"/>
        <v>0</v>
      </c>
      <c r="V132" s="22">
        <f t="shared" ref="V132:X132" si="155">V80*$Y$67</f>
        <v>0</v>
      </c>
      <c r="W132" s="22">
        <f t="shared" si="155"/>
        <v>0</v>
      </c>
      <c r="X132" s="22">
        <f t="shared" si="155"/>
        <v>0</v>
      </c>
      <c r="Y132" s="22">
        <f t="shared" si="49"/>
        <v>0</v>
      </c>
      <c r="Z132" s="42" t="s">
        <v>194</v>
      </c>
    </row>
    <row r="133" spans="2:26" ht="15" customHeight="1" outlineLevel="2" x14ac:dyDescent="0.3">
      <c r="B133" s="35" t="s">
        <v>186</v>
      </c>
      <c r="C133" s="13" t="s">
        <v>96</v>
      </c>
      <c r="D133" s="9" t="s">
        <v>113</v>
      </c>
      <c r="E133" s="22">
        <f>E78*$Y$69</f>
        <v>13830.776848371417</v>
      </c>
      <c r="F133" s="22">
        <f t="shared" ref="F133:U133" si="156">F78*$Y$69</f>
        <v>0</v>
      </c>
      <c r="G133" s="22">
        <f t="shared" si="156"/>
        <v>0</v>
      </c>
      <c r="H133" s="22">
        <f t="shared" si="156"/>
        <v>0</v>
      </c>
      <c r="I133" s="22">
        <f t="shared" si="156"/>
        <v>0</v>
      </c>
      <c r="J133" s="22">
        <f t="shared" si="156"/>
        <v>0</v>
      </c>
      <c r="K133" s="22">
        <f t="shared" si="156"/>
        <v>0</v>
      </c>
      <c r="L133" s="22">
        <f t="shared" si="156"/>
        <v>0</v>
      </c>
      <c r="M133" s="22">
        <f t="shared" si="156"/>
        <v>0</v>
      </c>
      <c r="N133" s="22">
        <f t="shared" si="156"/>
        <v>0</v>
      </c>
      <c r="O133" s="22">
        <f t="shared" si="156"/>
        <v>0</v>
      </c>
      <c r="P133" s="22">
        <f t="shared" si="156"/>
        <v>0</v>
      </c>
      <c r="Q133" s="22">
        <f t="shared" si="156"/>
        <v>0</v>
      </c>
      <c r="R133" s="22">
        <f t="shared" si="156"/>
        <v>0</v>
      </c>
      <c r="S133" s="22">
        <f t="shared" si="156"/>
        <v>0</v>
      </c>
      <c r="T133" s="22">
        <f t="shared" si="156"/>
        <v>0</v>
      </c>
      <c r="U133" s="22">
        <f t="shared" si="156"/>
        <v>0</v>
      </c>
      <c r="V133" s="22">
        <f t="shared" ref="V133:X133" si="157">V78*$Y$69</f>
        <v>0</v>
      </c>
      <c r="W133" s="22">
        <f t="shared" si="157"/>
        <v>0</v>
      </c>
      <c r="X133" s="22">
        <f t="shared" si="157"/>
        <v>0</v>
      </c>
      <c r="Y133" s="22">
        <f t="shared" si="49"/>
        <v>13830.776848371417</v>
      </c>
      <c r="Z133" s="42" t="s">
        <v>192</v>
      </c>
    </row>
    <row r="134" spans="2:26" ht="15" customHeight="1" outlineLevel="2" x14ac:dyDescent="0.3">
      <c r="B134" s="35" t="s">
        <v>186</v>
      </c>
      <c r="C134" s="13" t="s">
        <v>96</v>
      </c>
      <c r="D134" s="9" t="s">
        <v>114</v>
      </c>
      <c r="E134" s="22">
        <f>E79*$Y$69</f>
        <v>3177.1997408859602</v>
      </c>
      <c r="F134" s="22">
        <f t="shared" ref="F134:U134" si="158">F79*$Y$69</f>
        <v>0</v>
      </c>
      <c r="G134" s="22">
        <f t="shared" si="158"/>
        <v>0</v>
      </c>
      <c r="H134" s="22">
        <f t="shared" si="158"/>
        <v>0</v>
      </c>
      <c r="I134" s="22">
        <f t="shared" si="158"/>
        <v>0</v>
      </c>
      <c r="J134" s="22">
        <f t="shared" si="158"/>
        <v>0</v>
      </c>
      <c r="K134" s="22">
        <f t="shared" si="158"/>
        <v>0</v>
      </c>
      <c r="L134" s="22">
        <f t="shared" si="158"/>
        <v>0</v>
      </c>
      <c r="M134" s="22">
        <f t="shared" si="158"/>
        <v>0</v>
      </c>
      <c r="N134" s="22">
        <f t="shared" si="158"/>
        <v>0</v>
      </c>
      <c r="O134" s="22">
        <f t="shared" si="158"/>
        <v>0</v>
      </c>
      <c r="P134" s="22">
        <f t="shared" si="158"/>
        <v>0</v>
      </c>
      <c r="Q134" s="22">
        <f t="shared" si="158"/>
        <v>0</v>
      </c>
      <c r="R134" s="22">
        <f t="shared" si="158"/>
        <v>0</v>
      </c>
      <c r="S134" s="22">
        <f t="shared" si="158"/>
        <v>0</v>
      </c>
      <c r="T134" s="22">
        <f t="shared" si="158"/>
        <v>0</v>
      </c>
      <c r="U134" s="22">
        <f t="shared" si="158"/>
        <v>0</v>
      </c>
      <c r="V134" s="22">
        <f t="shared" ref="V134:X134" si="159">V79*$Y$69</f>
        <v>0</v>
      </c>
      <c r="W134" s="22">
        <f t="shared" si="159"/>
        <v>0</v>
      </c>
      <c r="X134" s="22">
        <f t="shared" si="159"/>
        <v>0</v>
      </c>
      <c r="Y134" s="22">
        <f t="shared" si="49"/>
        <v>3177.1997408859602</v>
      </c>
      <c r="Z134" s="42" t="s">
        <v>193</v>
      </c>
    </row>
    <row r="135" spans="2:26" ht="15" customHeight="1" outlineLevel="2" x14ac:dyDescent="0.3">
      <c r="B135" s="35" t="s">
        <v>186</v>
      </c>
      <c r="C135" s="13" t="s">
        <v>96</v>
      </c>
      <c r="D135" s="9" t="s">
        <v>115</v>
      </c>
      <c r="E135" s="22">
        <f>E80*$Y$69</f>
        <v>5026.2626986204114</v>
      </c>
      <c r="F135" s="22">
        <f t="shared" ref="F135:U135" si="160">F80*$Y$69</f>
        <v>0</v>
      </c>
      <c r="G135" s="22">
        <f t="shared" si="160"/>
        <v>0</v>
      </c>
      <c r="H135" s="22">
        <f t="shared" si="160"/>
        <v>0</v>
      </c>
      <c r="I135" s="22">
        <f t="shared" si="160"/>
        <v>0</v>
      </c>
      <c r="J135" s="22">
        <f t="shared" si="160"/>
        <v>0</v>
      </c>
      <c r="K135" s="22">
        <f t="shared" si="160"/>
        <v>0</v>
      </c>
      <c r="L135" s="22">
        <f t="shared" si="160"/>
        <v>0</v>
      </c>
      <c r="M135" s="22">
        <f t="shared" si="160"/>
        <v>0</v>
      </c>
      <c r="N135" s="22">
        <f t="shared" si="160"/>
        <v>0</v>
      </c>
      <c r="O135" s="22">
        <f t="shared" si="160"/>
        <v>0</v>
      </c>
      <c r="P135" s="22">
        <f t="shared" si="160"/>
        <v>0</v>
      </c>
      <c r="Q135" s="22">
        <f t="shared" si="160"/>
        <v>0</v>
      </c>
      <c r="R135" s="22">
        <f t="shared" si="160"/>
        <v>0</v>
      </c>
      <c r="S135" s="22">
        <f t="shared" si="160"/>
        <v>0</v>
      </c>
      <c r="T135" s="22">
        <f t="shared" si="160"/>
        <v>0</v>
      </c>
      <c r="U135" s="22">
        <f t="shared" si="160"/>
        <v>0</v>
      </c>
      <c r="V135" s="22">
        <f t="shared" ref="V135:X135" si="161">V80*$Y$69</f>
        <v>0</v>
      </c>
      <c r="W135" s="22">
        <f t="shared" si="161"/>
        <v>0</v>
      </c>
      <c r="X135" s="22">
        <f t="shared" si="161"/>
        <v>0</v>
      </c>
      <c r="Y135" s="22">
        <f t="shared" si="49"/>
        <v>5026.2626986204114</v>
      </c>
      <c r="Z135" s="42" t="s">
        <v>194</v>
      </c>
    </row>
    <row r="136" spans="2:26" ht="15" customHeight="1" outlineLevel="1" x14ac:dyDescent="0.3">
      <c r="B136" s="35" t="s">
        <v>186</v>
      </c>
      <c r="C136" s="13" t="s">
        <v>96</v>
      </c>
      <c r="D136" s="13" t="s">
        <v>116</v>
      </c>
      <c r="E136" s="23">
        <f>E110+E113+E117+E120+E125+E128+E129+E133</f>
        <v>110953.56538360183</v>
      </c>
      <c r="F136" s="23">
        <f t="shared" ref="F136:U136" si="162">F110+F113+F117+F120+F125+F128+F129+F133</f>
        <v>0</v>
      </c>
      <c r="G136" s="23">
        <f t="shared" si="162"/>
        <v>0</v>
      </c>
      <c r="H136" s="23">
        <f t="shared" si="162"/>
        <v>0</v>
      </c>
      <c r="I136" s="23">
        <f t="shared" si="162"/>
        <v>0</v>
      </c>
      <c r="J136" s="23">
        <f t="shared" si="162"/>
        <v>0</v>
      </c>
      <c r="K136" s="23">
        <f t="shared" si="162"/>
        <v>0</v>
      </c>
      <c r="L136" s="23">
        <f t="shared" si="162"/>
        <v>0</v>
      </c>
      <c r="M136" s="23">
        <f t="shared" si="162"/>
        <v>0</v>
      </c>
      <c r="N136" s="23">
        <f t="shared" si="162"/>
        <v>0</v>
      </c>
      <c r="O136" s="23">
        <f t="shared" si="162"/>
        <v>0</v>
      </c>
      <c r="P136" s="23">
        <f t="shared" si="162"/>
        <v>0</v>
      </c>
      <c r="Q136" s="23">
        <f t="shared" si="162"/>
        <v>0</v>
      </c>
      <c r="R136" s="23">
        <f t="shared" si="162"/>
        <v>0</v>
      </c>
      <c r="S136" s="23">
        <f t="shared" si="162"/>
        <v>0</v>
      </c>
      <c r="T136" s="23">
        <f t="shared" si="162"/>
        <v>0</v>
      </c>
      <c r="U136" s="23">
        <f t="shared" si="162"/>
        <v>0</v>
      </c>
      <c r="V136" s="23">
        <f t="shared" ref="V136:X136" si="163">V110+V113+V117+V120+V125+V128+V129+V133</f>
        <v>0</v>
      </c>
      <c r="W136" s="23">
        <f t="shared" si="163"/>
        <v>0</v>
      </c>
      <c r="X136" s="23">
        <f t="shared" si="163"/>
        <v>0</v>
      </c>
      <c r="Y136" s="22">
        <f t="shared" si="49"/>
        <v>110953.56538360183</v>
      </c>
      <c r="Z136" s="42" t="s">
        <v>192</v>
      </c>
    </row>
    <row r="137" spans="2:26" ht="15" customHeight="1" outlineLevel="1" x14ac:dyDescent="0.3">
      <c r="B137" s="35" t="s">
        <v>186</v>
      </c>
      <c r="C137" s="13" t="s">
        <v>96</v>
      </c>
      <c r="D137" s="13" t="s">
        <v>117</v>
      </c>
      <c r="E137" s="23">
        <f>E111+E114+E118+E121+E123+E126+E130+E134</f>
        <v>16733.251968666056</v>
      </c>
      <c r="F137" s="23">
        <f t="shared" ref="F137:U137" si="164">F111+F114+F118+F121+F123+F126+F130+F134</f>
        <v>0</v>
      </c>
      <c r="G137" s="23">
        <f t="shared" si="164"/>
        <v>0</v>
      </c>
      <c r="H137" s="23">
        <f t="shared" si="164"/>
        <v>0</v>
      </c>
      <c r="I137" s="23">
        <f t="shared" si="164"/>
        <v>0</v>
      </c>
      <c r="J137" s="23">
        <f t="shared" si="164"/>
        <v>0</v>
      </c>
      <c r="K137" s="23">
        <f t="shared" si="164"/>
        <v>0</v>
      </c>
      <c r="L137" s="23">
        <f t="shared" si="164"/>
        <v>0</v>
      </c>
      <c r="M137" s="23">
        <f t="shared" si="164"/>
        <v>0</v>
      </c>
      <c r="N137" s="23">
        <f t="shared" si="164"/>
        <v>0</v>
      </c>
      <c r="O137" s="23">
        <f t="shared" si="164"/>
        <v>0</v>
      </c>
      <c r="P137" s="23">
        <f t="shared" si="164"/>
        <v>0</v>
      </c>
      <c r="Q137" s="23">
        <f t="shared" si="164"/>
        <v>0</v>
      </c>
      <c r="R137" s="23">
        <f t="shared" si="164"/>
        <v>0</v>
      </c>
      <c r="S137" s="23">
        <f t="shared" si="164"/>
        <v>0</v>
      </c>
      <c r="T137" s="23">
        <f t="shared" si="164"/>
        <v>0</v>
      </c>
      <c r="U137" s="23">
        <f t="shared" si="164"/>
        <v>0</v>
      </c>
      <c r="V137" s="23">
        <f t="shared" ref="V137:X137" si="165">V111+V114+V118+V121+V123+V126+V130+V134</f>
        <v>0</v>
      </c>
      <c r="W137" s="23">
        <f t="shared" si="165"/>
        <v>0</v>
      </c>
      <c r="X137" s="23">
        <f t="shared" si="165"/>
        <v>0</v>
      </c>
      <c r="Y137" s="22">
        <f t="shared" si="49"/>
        <v>16733.251968666056</v>
      </c>
      <c r="Z137" s="42" t="s">
        <v>193</v>
      </c>
    </row>
    <row r="138" spans="2:26" ht="15" customHeight="1" outlineLevel="1" x14ac:dyDescent="0.3">
      <c r="B138" s="35" t="s">
        <v>186</v>
      </c>
      <c r="C138" s="13" t="s">
        <v>96</v>
      </c>
      <c r="D138" s="13" t="s">
        <v>118</v>
      </c>
      <c r="E138" s="23">
        <f>E112+E115+E116+E119+E122+E124+E127+E131+E132+E135</f>
        <v>43896.027567951598</v>
      </c>
      <c r="F138" s="23">
        <f t="shared" ref="F138:U138" si="166">F112+F115+F116+F119+F122+F124+F127+F131+F132+F135</f>
        <v>0</v>
      </c>
      <c r="G138" s="23">
        <f t="shared" si="166"/>
        <v>0</v>
      </c>
      <c r="H138" s="23">
        <f t="shared" si="166"/>
        <v>0</v>
      </c>
      <c r="I138" s="23">
        <f t="shared" si="166"/>
        <v>0</v>
      </c>
      <c r="J138" s="23">
        <f t="shared" si="166"/>
        <v>0</v>
      </c>
      <c r="K138" s="23">
        <f t="shared" si="166"/>
        <v>0</v>
      </c>
      <c r="L138" s="23">
        <f t="shared" si="166"/>
        <v>0</v>
      </c>
      <c r="M138" s="23">
        <f t="shared" si="166"/>
        <v>0</v>
      </c>
      <c r="N138" s="23">
        <f t="shared" si="166"/>
        <v>0</v>
      </c>
      <c r="O138" s="23">
        <f t="shared" si="166"/>
        <v>0</v>
      </c>
      <c r="P138" s="23">
        <f t="shared" si="166"/>
        <v>0</v>
      </c>
      <c r="Q138" s="23">
        <f t="shared" si="166"/>
        <v>0</v>
      </c>
      <c r="R138" s="23">
        <f t="shared" si="166"/>
        <v>0</v>
      </c>
      <c r="S138" s="23">
        <f t="shared" si="166"/>
        <v>0</v>
      </c>
      <c r="T138" s="23">
        <f t="shared" si="166"/>
        <v>0</v>
      </c>
      <c r="U138" s="23">
        <f t="shared" si="166"/>
        <v>0</v>
      </c>
      <c r="V138" s="23">
        <f t="shared" ref="V138:X138" si="167">V112+V115+V116+V119+V122+V124+V127+V131+V132+V135</f>
        <v>0</v>
      </c>
      <c r="W138" s="23">
        <f t="shared" si="167"/>
        <v>0</v>
      </c>
      <c r="X138" s="23">
        <f t="shared" si="167"/>
        <v>0</v>
      </c>
      <c r="Y138" s="22">
        <f t="shared" si="49"/>
        <v>43896.027567951598</v>
      </c>
      <c r="Z138" s="42" t="s">
        <v>194</v>
      </c>
    </row>
    <row r="139" spans="2:26" ht="15" customHeight="1" x14ac:dyDescent="0.3"/>
    <row r="140" spans="2:26" ht="15" customHeight="1" x14ac:dyDescent="0.3">
      <c r="B140" s="5" t="s">
        <v>170</v>
      </c>
    </row>
    <row r="141" spans="2:26" ht="15" customHeight="1" x14ac:dyDescent="0.3">
      <c r="B141" s="6" t="s">
        <v>171</v>
      </c>
    </row>
    <row r="142" spans="2:26" ht="15" customHeight="1" outlineLevel="1" x14ac:dyDescent="0.3">
      <c r="B142" s="35" t="s">
        <v>186</v>
      </c>
      <c r="C142" s="13" t="s">
        <v>119</v>
      </c>
      <c r="D142" s="13" t="s">
        <v>120</v>
      </c>
      <c r="E142" s="23">
        <f>E78+E82+E85+E89+E92+E95+E98+E101+E104+E107+E136</f>
        <v>3000049.1737100766</v>
      </c>
      <c r="F142" s="23">
        <f t="shared" ref="F142:U142" si="168">F78+F82+F85+F89+F92+F95+F98+F101+F104+F107+F136</f>
        <v>0</v>
      </c>
      <c r="G142" s="23">
        <f t="shared" si="168"/>
        <v>0</v>
      </c>
      <c r="H142" s="23">
        <f t="shared" si="168"/>
        <v>0</v>
      </c>
      <c r="I142" s="23">
        <f t="shared" si="168"/>
        <v>0</v>
      </c>
      <c r="J142" s="23">
        <f t="shared" si="168"/>
        <v>0</v>
      </c>
      <c r="K142" s="23">
        <f t="shared" si="168"/>
        <v>0</v>
      </c>
      <c r="L142" s="23">
        <f t="shared" si="168"/>
        <v>0</v>
      </c>
      <c r="M142" s="23">
        <f t="shared" si="168"/>
        <v>0</v>
      </c>
      <c r="N142" s="23">
        <f t="shared" si="168"/>
        <v>0</v>
      </c>
      <c r="O142" s="23">
        <f t="shared" si="168"/>
        <v>0</v>
      </c>
      <c r="P142" s="23">
        <f t="shared" si="168"/>
        <v>0</v>
      </c>
      <c r="Q142" s="23">
        <f t="shared" si="168"/>
        <v>0</v>
      </c>
      <c r="R142" s="23">
        <f t="shared" si="168"/>
        <v>0</v>
      </c>
      <c r="S142" s="23">
        <f t="shared" si="168"/>
        <v>0</v>
      </c>
      <c r="T142" s="23">
        <f t="shared" si="168"/>
        <v>0</v>
      </c>
      <c r="U142" s="23">
        <f t="shared" si="168"/>
        <v>0</v>
      </c>
      <c r="V142" s="23">
        <f t="shared" ref="V142:X142" si="169">V78+V82+V85+V89+V92+V95+V98+V101+V104+V107+V136</f>
        <v>0</v>
      </c>
      <c r="W142" s="23">
        <f t="shared" si="169"/>
        <v>0</v>
      </c>
      <c r="X142" s="23">
        <f t="shared" si="169"/>
        <v>0</v>
      </c>
      <c r="Y142" s="22">
        <f t="shared" si="49"/>
        <v>3000049.1737100766</v>
      </c>
      <c r="Z142" s="42" t="s">
        <v>192</v>
      </c>
    </row>
    <row r="143" spans="2:26" ht="15" customHeight="1" outlineLevel="1" x14ac:dyDescent="0.3">
      <c r="B143" s="35" t="s">
        <v>186</v>
      </c>
      <c r="C143" s="13" t="s">
        <v>119</v>
      </c>
      <c r="D143" s="13" t="s">
        <v>121</v>
      </c>
      <c r="E143" s="23">
        <f>E79+E83+E86+E90+E93+E96+E99+E102+E105+E108+E137</f>
        <v>591132.45360883698</v>
      </c>
      <c r="F143" s="23">
        <f t="shared" ref="F143:U143" si="170">F79+F83+F86+F90+F93+F96+F99+F102+F105+F108+F137</f>
        <v>0</v>
      </c>
      <c r="G143" s="23">
        <f t="shared" si="170"/>
        <v>0</v>
      </c>
      <c r="H143" s="23">
        <f t="shared" si="170"/>
        <v>0</v>
      </c>
      <c r="I143" s="23">
        <f t="shared" si="170"/>
        <v>0</v>
      </c>
      <c r="J143" s="23">
        <f t="shared" si="170"/>
        <v>0</v>
      </c>
      <c r="K143" s="23">
        <f t="shared" si="170"/>
        <v>0</v>
      </c>
      <c r="L143" s="23">
        <f t="shared" si="170"/>
        <v>0</v>
      </c>
      <c r="M143" s="23">
        <f t="shared" si="170"/>
        <v>0</v>
      </c>
      <c r="N143" s="23">
        <f t="shared" si="170"/>
        <v>0</v>
      </c>
      <c r="O143" s="23">
        <f t="shared" si="170"/>
        <v>0</v>
      </c>
      <c r="P143" s="23">
        <f t="shared" si="170"/>
        <v>0</v>
      </c>
      <c r="Q143" s="23">
        <f t="shared" si="170"/>
        <v>0</v>
      </c>
      <c r="R143" s="23">
        <f t="shared" si="170"/>
        <v>0</v>
      </c>
      <c r="S143" s="23">
        <f t="shared" si="170"/>
        <v>0</v>
      </c>
      <c r="T143" s="23">
        <f t="shared" si="170"/>
        <v>0</v>
      </c>
      <c r="U143" s="23">
        <f t="shared" si="170"/>
        <v>0</v>
      </c>
      <c r="V143" s="23">
        <f t="shared" ref="V143:X143" si="171">V79+V83+V86+V90+V93+V96+V99+V102+V105+V108+V137</f>
        <v>0</v>
      </c>
      <c r="W143" s="23">
        <f t="shared" si="171"/>
        <v>0</v>
      </c>
      <c r="X143" s="23">
        <f t="shared" si="171"/>
        <v>0</v>
      </c>
      <c r="Y143" s="22">
        <f t="shared" si="49"/>
        <v>591132.45360883698</v>
      </c>
      <c r="Z143" s="42" t="s">
        <v>193</v>
      </c>
    </row>
    <row r="144" spans="2:26" ht="15" customHeight="1" outlineLevel="1" x14ac:dyDescent="0.3">
      <c r="B144" s="35" t="s">
        <v>186</v>
      </c>
      <c r="C144" s="13" t="s">
        <v>119</v>
      </c>
      <c r="D144" s="13" t="s">
        <v>122</v>
      </c>
      <c r="E144" s="23">
        <f>E80-E81+E84+E87+E88+E91+E94+E97+E100+E103+E106+E109+E138</f>
        <v>1134106.3037804086</v>
      </c>
      <c r="F144" s="23">
        <f t="shared" ref="F144:U144" si="172">F80-F81+F84+F87+F88+F91+F94+F97+F100+F103+F106+F109+F138</f>
        <v>0</v>
      </c>
      <c r="G144" s="23">
        <f t="shared" si="172"/>
        <v>0</v>
      </c>
      <c r="H144" s="23">
        <f t="shared" si="172"/>
        <v>0</v>
      </c>
      <c r="I144" s="23">
        <f t="shared" si="172"/>
        <v>0</v>
      </c>
      <c r="J144" s="23">
        <f t="shared" si="172"/>
        <v>0</v>
      </c>
      <c r="K144" s="23">
        <f t="shared" si="172"/>
        <v>0</v>
      </c>
      <c r="L144" s="23">
        <f t="shared" si="172"/>
        <v>0</v>
      </c>
      <c r="M144" s="23">
        <f t="shared" si="172"/>
        <v>0</v>
      </c>
      <c r="N144" s="23">
        <f t="shared" si="172"/>
        <v>0</v>
      </c>
      <c r="O144" s="23">
        <f t="shared" si="172"/>
        <v>0</v>
      </c>
      <c r="P144" s="23">
        <f t="shared" si="172"/>
        <v>0</v>
      </c>
      <c r="Q144" s="23">
        <f t="shared" si="172"/>
        <v>0</v>
      </c>
      <c r="R144" s="23">
        <f t="shared" si="172"/>
        <v>0</v>
      </c>
      <c r="S144" s="23">
        <f t="shared" si="172"/>
        <v>0</v>
      </c>
      <c r="T144" s="23">
        <f t="shared" si="172"/>
        <v>0</v>
      </c>
      <c r="U144" s="23">
        <f t="shared" si="172"/>
        <v>0</v>
      </c>
      <c r="V144" s="23">
        <f t="shared" ref="V144:X144" si="173">V80-V81+V84+V87+V88+V91+V94+V97+V100+V103+V106+V109+V138</f>
        <v>0</v>
      </c>
      <c r="W144" s="23">
        <f t="shared" si="173"/>
        <v>0</v>
      </c>
      <c r="X144" s="23">
        <f t="shared" si="173"/>
        <v>0</v>
      </c>
      <c r="Y144" s="22">
        <f t="shared" si="49"/>
        <v>1134106.3037804086</v>
      </c>
      <c r="Z144" s="42" t="s">
        <v>194</v>
      </c>
    </row>
    <row r="145" spans="2:26" ht="15" customHeight="1" outlineLevel="1" x14ac:dyDescent="0.3">
      <c r="B145" s="35" t="s">
        <v>186</v>
      </c>
      <c r="C145" s="13" t="s">
        <v>119</v>
      </c>
      <c r="D145" s="13" t="s">
        <v>160</v>
      </c>
      <c r="E145" s="24">
        <f>SUM(E142:E144)</f>
        <v>4725287.9310993217</v>
      </c>
      <c r="F145" s="24">
        <f t="shared" ref="F145:U145" si="174">SUM(F142:F144)</f>
        <v>0</v>
      </c>
      <c r="G145" s="24">
        <f t="shared" si="174"/>
        <v>0</v>
      </c>
      <c r="H145" s="24">
        <f t="shared" si="174"/>
        <v>0</v>
      </c>
      <c r="I145" s="24">
        <f t="shared" si="174"/>
        <v>0</v>
      </c>
      <c r="J145" s="24">
        <f t="shared" si="174"/>
        <v>0</v>
      </c>
      <c r="K145" s="24">
        <f t="shared" si="174"/>
        <v>0</v>
      </c>
      <c r="L145" s="24">
        <f t="shared" si="174"/>
        <v>0</v>
      </c>
      <c r="M145" s="24">
        <f t="shared" si="174"/>
        <v>0</v>
      </c>
      <c r="N145" s="24">
        <f t="shared" si="174"/>
        <v>0</v>
      </c>
      <c r="O145" s="24">
        <f t="shared" si="174"/>
        <v>0</v>
      </c>
      <c r="P145" s="24">
        <f t="shared" si="174"/>
        <v>0</v>
      </c>
      <c r="Q145" s="24">
        <f t="shared" si="174"/>
        <v>0</v>
      </c>
      <c r="R145" s="24">
        <f t="shared" si="174"/>
        <v>0</v>
      </c>
      <c r="S145" s="24">
        <f t="shared" si="174"/>
        <v>0</v>
      </c>
      <c r="T145" s="24">
        <f t="shared" si="174"/>
        <v>0</v>
      </c>
      <c r="U145" s="24">
        <f t="shared" si="174"/>
        <v>0</v>
      </c>
      <c r="V145" s="24">
        <f t="shared" ref="V145:X145" si="175">SUM(V142:V144)</f>
        <v>0</v>
      </c>
      <c r="W145" s="24">
        <f t="shared" si="175"/>
        <v>0</v>
      </c>
      <c r="X145" s="24">
        <f t="shared" si="175"/>
        <v>0</v>
      </c>
      <c r="Y145" s="24">
        <f t="shared" ref="Y145:Y146" si="176">SUM(E145:X145)</f>
        <v>4725287.9310993217</v>
      </c>
      <c r="Z145" s="42" t="s">
        <v>195</v>
      </c>
    </row>
    <row r="146" spans="2:26" ht="15" customHeight="1" outlineLevel="1" x14ac:dyDescent="0.3">
      <c r="B146" s="35" t="s">
        <v>186</v>
      </c>
      <c r="C146" s="13" t="s">
        <v>119</v>
      </c>
      <c r="D146" s="13" t="s">
        <v>161</v>
      </c>
      <c r="E146" s="24">
        <f>E142+E143*1.5+E144*3</f>
        <v>7289066.7654645573</v>
      </c>
      <c r="F146" s="24">
        <f t="shared" ref="F146:U146" si="177">F142+F143*1.5+F144*3</f>
        <v>0</v>
      </c>
      <c r="G146" s="24">
        <f t="shared" si="177"/>
        <v>0</v>
      </c>
      <c r="H146" s="24">
        <f t="shared" si="177"/>
        <v>0</v>
      </c>
      <c r="I146" s="24">
        <f t="shared" si="177"/>
        <v>0</v>
      </c>
      <c r="J146" s="24">
        <f t="shared" si="177"/>
        <v>0</v>
      </c>
      <c r="K146" s="24">
        <f t="shared" si="177"/>
        <v>0</v>
      </c>
      <c r="L146" s="24">
        <f t="shared" si="177"/>
        <v>0</v>
      </c>
      <c r="M146" s="24">
        <f t="shared" si="177"/>
        <v>0</v>
      </c>
      <c r="N146" s="24">
        <f t="shared" si="177"/>
        <v>0</v>
      </c>
      <c r="O146" s="24">
        <f t="shared" si="177"/>
        <v>0</v>
      </c>
      <c r="P146" s="24">
        <f t="shared" si="177"/>
        <v>0</v>
      </c>
      <c r="Q146" s="24">
        <f t="shared" si="177"/>
        <v>0</v>
      </c>
      <c r="R146" s="24">
        <f t="shared" si="177"/>
        <v>0</v>
      </c>
      <c r="S146" s="24">
        <f t="shared" si="177"/>
        <v>0</v>
      </c>
      <c r="T146" s="24">
        <f t="shared" si="177"/>
        <v>0</v>
      </c>
      <c r="U146" s="24">
        <f t="shared" si="177"/>
        <v>0</v>
      </c>
      <c r="V146" s="24">
        <f t="shared" ref="V146:X146" si="178">V142+V143*1.5+V144*3</f>
        <v>0</v>
      </c>
      <c r="W146" s="24">
        <f t="shared" si="178"/>
        <v>0</v>
      </c>
      <c r="X146" s="24">
        <f t="shared" si="178"/>
        <v>0</v>
      </c>
      <c r="Y146" s="24">
        <f t="shared" si="176"/>
        <v>7289066.7654645573</v>
      </c>
      <c r="Z146" s="42" t="s">
        <v>196</v>
      </c>
    </row>
    <row r="147" spans="2:26" ht="15" customHeight="1" x14ac:dyDescent="0.3">
      <c r="B147" s="6" t="s">
        <v>172</v>
      </c>
    </row>
    <row r="148" spans="2:26" ht="15" customHeight="1" outlineLevel="1" x14ac:dyDescent="0.3">
      <c r="B148" s="35" t="s">
        <v>186</v>
      </c>
      <c r="C148" s="13" t="s">
        <v>119</v>
      </c>
      <c r="D148" s="13" t="s">
        <v>123</v>
      </c>
      <c r="E148" s="24">
        <f>E142*24</f>
        <v>72001180.169041842</v>
      </c>
      <c r="F148" s="24">
        <f t="shared" ref="F148:U148" si="179">F142*24</f>
        <v>0</v>
      </c>
      <c r="G148" s="24">
        <f t="shared" si="179"/>
        <v>0</v>
      </c>
      <c r="H148" s="24">
        <f t="shared" si="179"/>
        <v>0</v>
      </c>
      <c r="I148" s="24">
        <f t="shared" si="179"/>
        <v>0</v>
      </c>
      <c r="J148" s="24">
        <f t="shared" si="179"/>
        <v>0</v>
      </c>
      <c r="K148" s="24">
        <f t="shared" si="179"/>
        <v>0</v>
      </c>
      <c r="L148" s="24">
        <f t="shared" si="179"/>
        <v>0</v>
      </c>
      <c r="M148" s="24">
        <f t="shared" si="179"/>
        <v>0</v>
      </c>
      <c r="N148" s="24">
        <f t="shared" si="179"/>
        <v>0</v>
      </c>
      <c r="O148" s="24">
        <f t="shared" si="179"/>
        <v>0</v>
      </c>
      <c r="P148" s="24">
        <f t="shared" si="179"/>
        <v>0</v>
      </c>
      <c r="Q148" s="24">
        <f t="shared" si="179"/>
        <v>0</v>
      </c>
      <c r="R148" s="24">
        <f t="shared" si="179"/>
        <v>0</v>
      </c>
      <c r="S148" s="24">
        <f t="shared" si="179"/>
        <v>0</v>
      </c>
      <c r="T148" s="24">
        <f t="shared" si="179"/>
        <v>0</v>
      </c>
      <c r="U148" s="24">
        <f t="shared" si="179"/>
        <v>0</v>
      </c>
      <c r="V148" s="24">
        <f t="shared" ref="V148:X148" si="180">V142*24</f>
        <v>0</v>
      </c>
      <c r="W148" s="24">
        <f t="shared" si="180"/>
        <v>0</v>
      </c>
      <c r="X148" s="24">
        <f t="shared" si="180"/>
        <v>0</v>
      </c>
      <c r="Y148" s="40">
        <f>SUM(E148:X148)</f>
        <v>72001180.169041842</v>
      </c>
      <c r="Z148" s="42" t="s">
        <v>192</v>
      </c>
    </row>
    <row r="149" spans="2:26" ht="15" customHeight="1" outlineLevel="1" x14ac:dyDescent="0.3">
      <c r="B149" s="35" t="s">
        <v>186</v>
      </c>
      <c r="C149" s="13" t="s">
        <v>119</v>
      </c>
      <c r="D149" s="13" t="s">
        <v>124</v>
      </c>
      <c r="E149" s="24">
        <f>E143*24</f>
        <v>14187178.886612087</v>
      </c>
      <c r="F149" s="24">
        <f t="shared" ref="F149:U149" si="181">F143*24</f>
        <v>0</v>
      </c>
      <c r="G149" s="24">
        <f t="shared" si="181"/>
        <v>0</v>
      </c>
      <c r="H149" s="24">
        <f t="shared" si="181"/>
        <v>0</v>
      </c>
      <c r="I149" s="24">
        <f t="shared" si="181"/>
        <v>0</v>
      </c>
      <c r="J149" s="24">
        <f t="shared" si="181"/>
        <v>0</v>
      </c>
      <c r="K149" s="24">
        <f t="shared" si="181"/>
        <v>0</v>
      </c>
      <c r="L149" s="24">
        <f t="shared" si="181"/>
        <v>0</v>
      </c>
      <c r="M149" s="24">
        <f t="shared" si="181"/>
        <v>0</v>
      </c>
      <c r="N149" s="24">
        <f t="shared" si="181"/>
        <v>0</v>
      </c>
      <c r="O149" s="24">
        <f t="shared" si="181"/>
        <v>0</v>
      </c>
      <c r="P149" s="24">
        <f t="shared" si="181"/>
        <v>0</v>
      </c>
      <c r="Q149" s="24">
        <f t="shared" si="181"/>
        <v>0</v>
      </c>
      <c r="R149" s="24">
        <f t="shared" si="181"/>
        <v>0</v>
      </c>
      <c r="S149" s="24">
        <f t="shared" si="181"/>
        <v>0</v>
      </c>
      <c r="T149" s="24">
        <f t="shared" si="181"/>
        <v>0</v>
      </c>
      <c r="U149" s="24">
        <f t="shared" si="181"/>
        <v>0</v>
      </c>
      <c r="V149" s="24">
        <f t="shared" ref="V149:X149" si="182">V143*24</f>
        <v>0</v>
      </c>
      <c r="W149" s="24">
        <f t="shared" si="182"/>
        <v>0</v>
      </c>
      <c r="X149" s="24">
        <f t="shared" si="182"/>
        <v>0</v>
      </c>
      <c r="Y149" s="40">
        <f t="shared" ref="Y149:Y151" si="183">SUM(E149:X149)</f>
        <v>14187178.886612087</v>
      </c>
      <c r="Z149" s="42" t="s">
        <v>193</v>
      </c>
    </row>
    <row r="150" spans="2:26" ht="15" customHeight="1" outlineLevel="1" x14ac:dyDescent="0.3">
      <c r="B150" s="35" t="s">
        <v>186</v>
      </c>
      <c r="C150" s="13" t="s">
        <v>119</v>
      </c>
      <c r="D150" s="13" t="s">
        <v>125</v>
      </c>
      <c r="E150" s="24">
        <f>E144*24</f>
        <v>27218551.290729806</v>
      </c>
      <c r="F150" s="24">
        <f t="shared" ref="F150:U150" si="184">F144*24</f>
        <v>0</v>
      </c>
      <c r="G150" s="24">
        <f t="shared" si="184"/>
        <v>0</v>
      </c>
      <c r="H150" s="24">
        <f t="shared" si="184"/>
        <v>0</v>
      </c>
      <c r="I150" s="24">
        <f t="shared" si="184"/>
        <v>0</v>
      </c>
      <c r="J150" s="24">
        <f t="shared" si="184"/>
        <v>0</v>
      </c>
      <c r="K150" s="24">
        <f t="shared" si="184"/>
        <v>0</v>
      </c>
      <c r="L150" s="24">
        <f t="shared" si="184"/>
        <v>0</v>
      </c>
      <c r="M150" s="24">
        <f t="shared" si="184"/>
        <v>0</v>
      </c>
      <c r="N150" s="24">
        <f t="shared" si="184"/>
        <v>0</v>
      </c>
      <c r="O150" s="24">
        <f t="shared" si="184"/>
        <v>0</v>
      </c>
      <c r="P150" s="24">
        <f t="shared" si="184"/>
        <v>0</v>
      </c>
      <c r="Q150" s="24">
        <f t="shared" si="184"/>
        <v>0</v>
      </c>
      <c r="R150" s="24">
        <f t="shared" si="184"/>
        <v>0</v>
      </c>
      <c r="S150" s="24">
        <f t="shared" si="184"/>
        <v>0</v>
      </c>
      <c r="T150" s="24">
        <f t="shared" si="184"/>
        <v>0</v>
      </c>
      <c r="U150" s="24">
        <f t="shared" si="184"/>
        <v>0</v>
      </c>
      <c r="V150" s="24">
        <f t="shared" ref="V150:X150" si="185">V144*24</f>
        <v>0</v>
      </c>
      <c r="W150" s="24">
        <f t="shared" si="185"/>
        <v>0</v>
      </c>
      <c r="X150" s="24">
        <f t="shared" si="185"/>
        <v>0</v>
      </c>
      <c r="Y150" s="40">
        <f t="shared" si="183"/>
        <v>27218551.290729806</v>
      </c>
      <c r="Z150" s="42" t="s">
        <v>194</v>
      </c>
    </row>
    <row r="151" spans="2:26" ht="15" customHeight="1" outlineLevel="1" x14ac:dyDescent="0.3">
      <c r="B151" s="35" t="s">
        <v>186</v>
      </c>
      <c r="C151" s="13" t="s">
        <v>119</v>
      </c>
      <c r="D151" s="13" t="s">
        <v>162</v>
      </c>
      <c r="E151" s="24">
        <f>SUM(E148:E150)</f>
        <v>113406910.34638374</v>
      </c>
      <c r="F151" s="24">
        <f t="shared" ref="F151" si="186">SUM(F148:F150)</f>
        <v>0</v>
      </c>
      <c r="G151" s="24">
        <f t="shared" ref="G151" si="187">SUM(G148:G150)</f>
        <v>0</v>
      </c>
      <c r="H151" s="24">
        <f t="shared" ref="H151" si="188">SUM(H148:H150)</f>
        <v>0</v>
      </c>
      <c r="I151" s="24">
        <f t="shared" ref="I151" si="189">SUM(I148:I150)</f>
        <v>0</v>
      </c>
      <c r="J151" s="24">
        <f t="shared" ref="J151" si="190">SUM(J148:J150)</f>
        <v>0</v>
      </c>
      <c r="K151" s="24">
        <f t="shared" ref="K151" si="191">SUM(K148:K150)</f>
        <v>0</v>
      </c>
      <c r="L151" s="24">
        <f t="shared" ref="L151" si="192">SUM(L148:L150)</f>
        <v>0</v>
      </c>
      <c r="M151" s="24">
        <f t="shared" ref="M151" si="193">SUM(M148:M150)</f>
        <v>0</v>
      </c>
      <c r="N151" s="24">
        <f t="shared" ref="N151" si="194">SUM(N148:N150)</f>
        <v>0</v>
      </c>
      <c r="O151" s="24">
        <f t="shared" ref="O151" si="195">SUM(O148:O150)</f>
        <v>0</v>
      </c>
      <c r="P151" s="24">
        <f t="shared" ref="P151" si="196">SUM(P148:P150)</f>
        <v>0</v>
      </c>
      <c r="Q151" s="24">
        <f t="shared" ref="Q151" si="197">SUM(Q148:Q150)</f>
        <v>0</v>
      </c>
      <c r="R151" s="24">
        <f t="shared" ref="R151" si="198">SUM(R148:R150)</f>
        <v>0</v>
      </c>
      <c r="S151" s="24">
        <f t="shared" ref="S151" si="199">SUM(S148:S150)</f>
        <v>0</v>
      </c>
      <c r="T151" s="24">
        <f t="shared" ref="T151" si="200">SUM(T148:T150)</f>
        <v>0</v>
      </c>
      <c r="U151" s="24">
        <f t="shared" ref="U151:X151" si="201">SUM(U148:U150)</f>
        <v>0</v>
      </c>
      <c r="V151" s="24">
        <f t="shared" si="201"/>
        <v>0</v>
      </c>
      <c r="W151" s="24">
        <f t="shared" si="201"/>
        <v>0</v>
      </c>
      <c r="X151" s="24">
        <f t="shared" si="201"/>
        <v>0</v>
      </c>
      <c r="Y151" s="41">
        <f t="shared" si="183"/>
        <v>113406910.34638374</v>
      </c>
      <c r="Z151" s="42" t="s">
        <v>195</v>
      </c>
    </row>
    <row r="152" spans="2:26" ht="15" customHeight="1" outlineLevel="1" x14ac:dyDescent="0.3">
      <c r="B152" s="35" t="s">
        <v>186</v>
      </c>
      <c r="C152" s="13" t="s">
        <v>119</v>
      </c>
      <c r="D152" s="13" t="s">
        <v>163</v>
      </c>
      <c r="E152" s="24">
        <f>E148+E149*1.5+E150*3</f>
        <v>174937602.37114939</v>
      </c>
      <c r="F152" s="24">
        <f t="shared" ref="F152:U152" si="202">F148+F149*1.5+F150*3</f>
        <v>0</v>
      </c>
      <c r="G152" s="24">
        <f t="shared" si="202"/>
        <v>0</v>
      </c>
      <c r="H152" s="24">
        <f t="shared" si="202"/>
        <v>0</v>
      </c>
      <c r="I152" s="24">
        <f t="shared" si="202"/>
        <v>0</v>
      </c>
      <c r="J152" s="24">
        <f t="shared" si="202"/>
        <v>0</v>
      </c>
      <c r="K152" s="24">
        <f t="shared" si="202"/>
        <v>0</v>
      </c>
      <c r="L152" s="24">
        <f t="shared" si="202"/>
        <v>0</v>
      </c>
      <c r="M152" s="24">
        <f t="shared" si="202"/>
        <v>0</v>
      </c>
      <c r="N152" s="24">
        <f t="shared" si="202"/>
        <v>0</v>
      </c>
      <c r="O152" s="24">
        <f t="shared" si="202"/>
        <v>0</v>
      </c>
      <c r="P152" s="24">
        <f t="shared" si="202"/>
        <v>0</v>
      </c>
      <c r="Q152" s="24">
        <f t="shared" si="202"/>
        <v>0</v>
      </c>
      <c r="R152" s="24">
        <f t="shared" si="202"/>
        <v>0</v>
      </c>
      <c r="S152" s="24">
        <f t="shared" si="202"/>
        <v>0</v>
      </c>
      <c r="T152" s="24">
        <f t="shared" si="202"/>
        <v>0</v>
      </c>
      <c r="U152" s="24">
        <f t="shared" si="202"/>
        <v>0</v>
      </c>
      <c r="V152" s="24">
        <f t="shared" ref="V152:X152" si="203">V148+V149*1.5+V150*3</f>
        <v>0</v>
      </c>
      <c r="W152" s="24">
        <f t="shared" si="203"/>
        <v>0</v>
      </c>
      <c r="X152" s="24">
        <f t="shared" si="203"/>
        <v>0</v>
      </c>
      <c r="Y152" s="41">
        <f>SUM(E152:X152)</f>
        <v>174937602.37114939</v>
      </c>
      <c r="Z152" s="42" t="s">
        <v>196</v>
      </c>
    </row>
    <row r="153" spans="2:26" ht="15" customHeight="1" x14ac:dyDescent="0.3">
      <c r="B153" s="6" t="s">
        <v>173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2:26" ht="15" customHeight="1" outlineLevel="1" x14ac:dyDescent="0.3">
      <c r="B154" s="35" t="s">
        <v>186</v>
      </c>
      <c r="C154" s="13" t="s">
        <v>119</v>
      </c>
      <c r="D154" s="13" t="s">
        <v>126</v>
      </c>
      <c r="E154" s="24">
        <f>E148*7</f>
        <v>504008261.18329287</v>
      </c>
      <c r="F154" s="24">
        <f t="shared" ref="F154:U154" si="204">F148*7</f>
        <v>0</v>
      </c>
      <c r="G154" s="24">
        <f t="shared" si="204"/>
        <v>0</v>
      </c>
      <c r="H154" s="24">
        <f t="shared" si="204"/>
        <v>0</v>
      </c>
      <c r="I154" s="24">
        <f t="shared" si="204"/>
        <v>0</v>
      </c>
      <c r="J154" s="24">
        <f t="shared" si="204"/>
        <v>0</v>
      </c>
      <c r="K154" s="24">
        <f t="shared" si="204"/>
        <v>0</v>
      </c>
      <c r="L154" s="24">
        <f t="shared" si="204"/>
        <v>0</v>
      </c>
      <c r="M154" s="24">
        <f t="shared" si="204"/>
        <v>0</v>
      </c>
      <c r="N154" s="24">
        <f t="shared" si="204"/>
        <v>0</v>
      </c>
      <c r="O154" s="24">
        <f t="shared" si="204"/>
        <v>0</v>
      </c>
      <c r="P154" s="24">
        <f t="shared" si="204"/>
        <v>0</v>
      </c>
      <c r="Q154" s="24">
        <f t="shared" si="204"/>
        <v>0</v>
      </c>
      <c r="R154" s="24">
        <f t="shared" si="204"/>
        <v>0</v>
      </c>
      <c r="S154" s="24">
        <f t="shared" si="204"/>
        <v>0</v>
      </c>
      <c r="T154" s="24">
        <f t="shared" si="204"/>
        <v>0</v>
      </c>
      <c r="U154" s="24">
        <f t="shared" si="204"/>
        <v>0</v>
      </c>
      <c r="V154" s="24">
        <f t="shared" ref="V154:X154" si="205">V148*7</f>
        <v>0</v>
      </c>
      <c r="W154" s="24">
        <f t="shared" si="205"/>
        <v>0</v>
      </c>
      <c r="X154" s="24">
        <f t="shared" si="205"/>
        <v>0</v>
      </c>
      <c r="Y154" s="24">
        <f t="shared" ref="Y154:Y158" si="206">SUM(E154:X154)</f>
        <v>504008261.18329287</v>
      </c>
      <c r="Z154" s="42" t="s">
        <v>192</v>
      </c>
    </row>
    <row r="155" spans="2:26" ht="15" customHeight="1" outlineLevel="1" x14ac:dyDescent="0.3">
      <c r="B155" s="35" t="s">
        <v>186</v>
      </c>
      <c r="C155" s="13" t="s">
        <v>119</v>
      </c>
      <c r="D155" s="13" t="s">
        <v>127</v>
      </c>
      <c r="E155" s="24">
        <f t="shared" ref="E155:E156" si="207">E149*7</f>
        <v>99310252.206284612</v>
      </c>
      <c r="F155" s="24">
        <f t="shared" ref="F155:U155" si="208">F149*7</f>
        <v>0</v>
      </c>
      <c r="G155" s="24">
        <f t="shared" si="208"/>
        <v>0</v>
      </c>
      <c r="H155" s="24">
        <f t="shared" si="208"/>
        <v>0</v>
      </c>
      <c r="I155" s="24">
        <f t="shared" si="208"/>
        <v>0</v>
      </c>
      <c r="J155" s="24">
        <f t="shared" si="208"/>
        <v>0</v>
      </c>
      <c r="K155" s="24">
        <f t="shared" si="208"/>
        <v>0</v>
      </c>
      <c r="L155" s="24">
        <f t="shared" si="208"/>
        <v>0</v>
      </c>
      <c r="M155" s="24">
        <f t="shared" si="208"/>
        <v>0</v>
      </c>
      <c r="N155" s="24">
        <f t="shared" si="208"/>
        <v>0</v>
      </c>
      <c r="O155" s="24">
        <f t="shared" si="208"/>
        <v>0</v>
      </c>
      <c r="P155" s="24">
        <f t="shared" si="208"/>
        <v>0</v>
      </c>
      <c r="Q155" s="24">
        <f t="shared" si="208"/>
        <v>0</v>
      </c>
      <c r="R155" s="24">
        <f t="shared" si="208"/>
        <v>0</v>
      </c>
      <c r="S155" s="24">
        <f t="shared" si="208"/>
        <v>0</v>
      </c>
      <c r="T155" s="24">
        <f t="shared" si="208"/>
        <v>0</v>
      </c>
      <c r="U155" s="24">
        <f t="shared" si="208"/>
        <v>0</v>
      </c>
      <c r="V155" s="24">
        <f t="shared" ref="V155:X155" si="209">V149*7</f>
        <v>0</v>
      </c>
      <c r="W155" s="24">
        <f t="shared" si="209"/>
        <v>0</v>
      </c>
      <c r="X155" s="24">
        <f t="shared" si="209"/>
        <v>0</v>
      </c>
      <c r="Y155" s="24">
        <f t="shared" si="206"/>
        <v>99310252.206284612</v>
      </c>
      <c r="Z155" s="42" t="s">
        <v>193</v>
      </c>
    </row>
    <row r="156" spans="2:26" ht="15" customHeight="1" outlineLevel="1" x14ac:dyDescent="0.3">
      <c r="B156" s="35" t="s">
        <v>186</v>
      </c>
      <c r="C156" s="13" t="s">
        <v>119</v>
      </c>
      <c r="D156" s="13" t="s">
        <v>128</v>
      </c>
      <c r="E156" s="24">
        <f t="shared" si="207"/>
        <v>190529859.03510863</v>
      </c>
      <c r="F156" s="24">
        <f t="shared" ref="F156:U156" si="210">F150*7</f>
        <v>0</v>
      </c>
      <c r="G156" s="24">
        <f t="shared" si="210"/>
        <v>0</v>
      </c>
      <c r="H156" s="24">
        <f t="shared" si="210"/>
        <v>0</v>
      </c>
      <c r="I156" s="24">
        <f t="shared" si="210"/>
        <v>0</v>
      </c>
      <c r="J156" s="24">
        <f t="shared" si="210"/>
        <v>0</v>
      </c>
      <c r="K156" s="24">
        <f t="shared" si="210"/>
        <v>0</v>
      </c>
      <c r="L156" s="24">
        <f t="shared" si="210"/>
        <v>0</v>
      </c>
      <c r="M156" s="24">
        <f t="shared" si="210"/>
        <v>0</v>
      </c>
      <c r="N156" s="24">
        <f t="shared" si="210"/>
        <v>0</v>
      </c>
      <c r="O156" s="24">
        <f t="shared" si="210"/>
        <v>0</v>
      </c>
      <c r="P156" s="24">
        <f t="shared" si="210"/>
        <v>0</v>
      </c>
      <c r="Q156" s="24">
        <f t="shared" si="210"/>
        <v>0</v>
      </c>
      <c r="R156" s="24">
        <f t="shared" si="210"/>
        <v>0</v>
      </c>
      <c r="S156" s="24">
        <f t="shared" si="210"/>
        <v>0</v>
      </c>
      <c r="T156" s="24">
        <f t="shared" si="210"/>
        <v>0</v>
      </c>
      <c r="U156" s="24">
        <f t="shared" si="210"/>
        <v>0</v>
      </c>
      <c r="V156" s="24">
        <f t="shared" ref="V156:X156" si="211">V150*7</f>
        <v>0</v>
      </c>
      <c r="W156" s="24">
        <f t="shared" si="211"/>
        <v>0</v>
      </c>
      <c r="X156" s="24">
        <f t="shared" si="211"/>
        <v>0</v>
      </c>
      <c r="Y156" s="24">
        <f t="shared" si="206"/>
        <v>190529859.03510863</v>
      </c>
      <c r="Z156" s="42" t="s">
        <v>194</v>
      </c>
    </row>
    <row r="157" spans="2:26" ht="15" customHeight="1" outlineLevel="1" x14ac:dyDescent="0.3">
      <c r="B157" s="35" t="s">
        <v>186</v>
      </c>
      <c r="C157" s="13" t="s">
        <v>119</v>
      </c>
      <c r="D157" s="13" t="s">
        <v>164</v>
      </c>
      <c r="E157" s="25">
        <f>SUM(E154:E156)</f>
        <v>793848372.42468619</v>
      </c>
      <c r="F157" s="25">
        <f t="shared" ref="F157" si="212">SUM(F154:F156)</f>
        <v>0</v>
      </c>
      <c r="G157" s="25">
        <f t="shared" ref="G157" si="213">SUM(G154:G156)</f>
        <v>0</v>
      </c>
      <c r="H157" s="25">
        <f t="shared" ref="H157" si="214">SUM(H154:H156)</f>
        <v>0</v>
      </c>
      <c r="I157" s="25">
        <f t="shared" ref="I157" si="215">SUM(I154:I156)</f>
        <v>0</v>
      </c>
      <c r="J157" s="25">
        <f t="shared" ref="J157" si="216">SUM(J154:J156)</f>
        <v>0</v>
      </c>
      <c r="K157" s="25">
        <f t="shared" ref="K157" si="217">SUM(K154:K156)</f>
        <v>0</v>
      </c>
      <c r="L157" s="25">
        <f t="shared" ref="L157" si="218">SUM(L154:L156)</f>
        <v>0</v>
      </c>
      <c r="M157" s="25">
        <f t="shared" ref="M157" si="219">SUM(M154:M156)</f>
        <v>0</v>
      </c>
      <c r="N157" s="25">
        <f t="shared" ref="N157" si="220">SUM(N154:N156)</f>
        <v>0</v>
      </c>
      <c r="O157" s="25">
        <f t="shared" ref="O157" si="221">SUM(O154:O156)</f>
        <v>0</v>
      </c>
      <c r="P157" s="25">
        <f t="shared" ref="P157" si="222">SUM(P154:P156)</f>
        <v>0</v>
      </c>
      <c r="Q157" s="25">
        <f t="shared" ref="Q157" si="223">SUM(Q154:Q156)</f>
        <v>0</v>
      </c>
      <c r="R157" s="25">
        <f t="shared" ref="R157" si="224">SUM(R154:R156)</f>
        <v>0</v>
      </c>
      <c r="S157" s="25">
        <f t="shared" ref="S157" si="225">SUM(S154:S156)</f>
        <v>0</v>
      </c>
      <c r="T157" s="25">
        <f t="shared" ref="T157" si="226">SUM(T154:T156)</f>
        <v>0</v>
      </c>
      <c r="U157" s="25">
        <f t="shared" ref="U157:X157" si="227">SUM(U154:U156)</f>
        <v>0</v>
      </c>
      <c r="V157" s="25">
        <f t="shared" si="227"/>
        <v>0</v>
      </c>
      <c r="W157" s="25">
        <f t="shared" si="227"/>
        <v>0</v>
      </c>
      <c r="X157" s="25">
        <f t="shared" si="227"/>
        <v>0</v>
      </c>
      <c r="Y157" s="25">
        <f t="shared" si="206"/>
        <v>793848372.42468619</v>
      </c>
      <c r="Z157" s="42" t="s">
        <v>195</v>
      </c>
    </row>
    <row r="158" spans="2:26" ht="15" customHeight="1" outlineLevel="1" x14ac:dyDescent="0.3">
      <c r="B158" s="35" t="s">
        <v>186</v>
      </c>
      <c r="C158" s="13" t="s">
        <v>119</v>
      </c>
      <c r="D158" s="13" t="s">
        <v>165</v>
      </c>
      <c r="E158" s="25">
        <f>E154+E155*1.5+E156*3</f>
        <v>1224563216.5980458</v>
      </c>
      <c r="F158" s="25">
        <f t="shared" ref="F158:U158" si="228">F154+F155*1.5+F156*3</f>
        <v>0</v>
      </c>
      <c r="G158" s="25">
        <f t="shared" si="228"/>
        <v>0</v>
      </c>
      <c r="H158" s="25">
        <f t="shared" si="228"/>
        <v>0</v>
      </c>
      <c r="I158" s="25">
        <f t="shared" si="228"/>
        <v>0</v>
      </c>
      <c r="J158" s="25">
        <f t="shared" si="228"/>
        <v>0</v>
      </c>
      <c r="K158" s="25">
        <f t="shared" si="228"/>
        <v>0</v>
      </c>
      <c r="L158" s="25">
        <f t="shared" si="228"/>
        <v>0</v>
      </c>
      <c r="M158" s="25">
        <f t="shared" si="228"/>
        <v>0</v>
      </c>
      <c r="N158" s="25">
        <f t="shared" si="228"/>
        <v>0</v>
      </c>
      <c r="O158" s="25">
        <f t="shared" si="228"/>
        <v>0</v>
      </c>
      <c r="P158" s="25">
        <f t="shared" si="228"/>
        <v>0</v>
      </c>
      <c r="Q158" s="25">
        <f t="shared" si="228"/>
        <v>0</v>
      </c>
      <c r="R158" s="25">
        <f t="shared" si="228"/>
        <v>0</v>
      </c>
      <c r="S158" s="25">
        <f t="shared" si="228"/>
        <v>0</v>
      </c>
      <c r="T158" s="25">
        <f t="shared" si="228"/>
        <v>0</v>
      </c>
      <c r="U158" s="25">
        <f t="shared" si="228"/>
        <v>0</v>
      </c>
      <c r="V158" s="25">
        <f t="shared" ref="V158:X158" si="229">V154+V155*1.5+V156*3</f>
        <v>0</v>
      </c>
      <c r="W158" s="25">
        <f t="shared" si="229"/>
        <v>0</v>
      </c>
      <c r="X158" s="25">
        <f t="shared" si="229"/>
        <v>0</v>
      </c>
      <c r="Y158" s="25">
        <f t="shared" si="206"/>
        <v>1224563216.5980458</v>
      </c>
      <c r="Z158" s="42" t="s">
        <v>196</v>
      </c>
    </row>
    <row r="159" spans="2:26" ht="15" customHeight="1" x14ac:dyDescent="0.3">
      <c r="B159" s="6" t="s">
        <v>174</v>
      </c>
    </row>
    <row r="160" spans="2:26" ht="15" customHeight="1" outlineLevel="1" x14ac:dyDescent="0.3">
      <c r="B160" s="35" t="s">
        <v>186</v>
      </c>
      <c r="C160" s="13" t="s">
        <v>119</v>
      </c>
      <c r="D160" s="13" t="s">
        <v>129</v>
      </c>
      <c r="E160" s="25">
        <f>E148*31</f>
        <v>2232036585.2402973</v>
      </c>
      <c r="F160" s="25">
        <f t="shared" ref="F160:U160" si="230">F148*31</f>
        <v>0</v>
      </c>
      <c r="G160" s="25">
        <f t="shared" si="230"/>
        <v>0</v>
      </c>
      <c r="H160" s="25">
        <f t="shared" si="230"/>
        <v>0</v>
      </c>
      <c r="I160" s="25">
        <f t="shared" si="230"/>
        <v>0</v>
      </c>
      <c r="J160" s="25">
        <f t="shared" si="230"/>
        <v>0</v>
      </c>
      <c r="K160" s="25">
        <f t="shared" si="230"/>
        <v>0</v>
      </c>
      <c r="L160" s="25">
        <f t="shared" si="230"/>
        <v>0</v>
      </c>
      <c r="M160" s="25">
        <f t="shared" si="230"/>
        <v>0</v>
      </c>
      <c r="N160" s="25">
        <f t="shared" si="230"/>
        <v>0</v>
      </c>
      <c r="O160" s="25">
        <f t="shared" si="230"/>
        <v>0</v>
      </c>
      <c r="P160" s="25">
        <f t="shared" si="230"/>
        <v>0</v>
      </c>
      <c r="Q160" s="25">
        <f t="shared" si="230"/>
        <v>0</v>
      </c>
      <c r="R160" s="25">
        <f t="shared" si="230"/>
        <v>0</v>
      </c>
      <c r="S160" s="25">
        <f t="shared" si="230"/>
        <v>0</v>
      </c>
      <c r="T160" s="25">
        <f t="shared" si="230"/>
        <v>0</v>
      </c>
      <c r="U160" s="25">
        <f t="shared" si="230"/>
        <v>0</v>
      </c>
      <c r="V160" s="25">
        <f t="shared" ref="V160:X160" si="231">V148*31</f>
        <v>0</v>
      </c>
      <c r="W160" s="25">
        <f t="shared" si="231"/>
        <v>0</v>
      </c>
      <c r="X160" s="25">
        <f t="shared" si="231"/>
        <v>0</v>
      </c>
      <c r="Y160" s="25">
        <f t="shared" ref="Y160:Y164" si="232">SUM(E160:X160)</f>
        <v>2232036585.2402973</v>
      </c>
      <c r="Z160" s="42" t="s">
        <v>192</v>
      </c>
    </row>
    <row r="161" spans="2:26" ht="15" customHeight="1" outlineLevel="1" x14ac:dyDescent="0.3">
      <c r="B161" s="35" t="s">
        <v>186</v>
      </c>
      <c r="C161" s="13" t="s">
        <v>119</v>
      </c>
      <c r="D161" s="13" t="s">
        <v>130</v>
      </c>
      <c r="E161" s="25">
        <f t="shared" ref="E161:E162" si="233">E149*31</f>
        <v>439802545.48497474</v>
      </c>
      <c r="F161" s="25">
        <f t="shared" ref="F161:U161" si="234">F149*31</f>
        <v>0</v>
      </c>
      <c r="G161" s="25">
        <f t="shared" si="234"/>
        <v>0</v>
      </c>
      <c r="H161" s="25">
        <f t="shared" si="234"/>
        <v>0</v>
      </c>
      <c r="I161" s="25">
        <f t="shared" si="234"/>
        <v>0</v>
      </c>
      <c r="J161" s="25">
        <f t="shared" si="234"/>
        <v>0</v>
      </c>
      <c r="K161" s="25">
        <f t="shared" si="234"/>
        <v>0</v>
      </c>
      <c r="L161" s="25">
        <f t="shared" si="234"/>
        <v>0</v>
      </c>
      <c r="M161" s="25">
        <f t="shared" si="234"/>
        <v>0</v>
      </c>
      <c r="N161" s="25">
        <f t="shared" si="234"/>
        <v>0</v>
      </c>
      <c r="O161" s="25">
        <f t="shared" si="234"/>
        <v>0</v>
      </c>
      <c r="P161" s="25">
        <f t="shared" si="234"/>
        <v>0</v>
      </c>
      <c r="Q161" s="25">
        <f t="shared" si="234"/>
        <v>0</v>
      </c>
      <c r="R161" s="25">
        <f t="shared" si="234"/>
        <v>0</v>
      </c>
      <c r="S161" s="25">
        <f t="shared" si="234"/>
        <v>0</v>
      </c>
      <c r="T161" s="25">
        <f t="shared" si="234"/>
        <v>0</v>
      </c>
      <c r="U161" s="25">
        <f t="shared" si="234"/>
        <v>0</v>
      </c>
      <c r="V161" s="25">
        <f t="shared" ref="V161:X161" si="235">V149*31</f>
        <v>0</v>
      </c>
      <c r="W161" s="25">
        <f t="shared" si="235"/>
        <v>0</v>
      </c>
      <c r="X161" s="25">
        <f t="shared" si="235"/>
        <v>0</v>
      </c>
      <c r="Y161" s="25">
        <f t="shared" si="232"/>
        <v>439802545.48497474</v>
      </c>
      <c r="Z161" s="42" t="s">
        <v>193</v>
      </c>
    </row>
    <row r="162" spans="2:26" ht="15" customHeight="1" outlineLevel="1" x14ac:dyDescent="0.3">
      <c r="B162" s="35" t="s">
        <v>186</v>
      </c>
      <c r="C162" s="13" t="s">
        <v>119</v>
      </c>
      <c r="D162" s="13" t="s">
        <v>131</v>
      </c>
      <c r="E162" s="25">
        <f t="shared" si="233"/>
        <v>843775090.01262403</v>
      </c>
      <c r="F162" s="25">
        <f t="shared" ref="F162:U162" si="236">F150*31</f>
        <v>0</v>
      </c>
      <c r="G162" s="25">
        <f t="shared" si="236"/>
        <v>0</v>
      </c>
      <c r="H162" s="25">
        <f t="shared" si="236"/>
        <v>0</v>
      </c>
      <c r="I162" s="25">
        <f t="shared" si="236"/>
        <v>0</v>
      </c>
      <c r="J162" s="25">
        <f t="shared" si="236"/>
        <v>0</v>
      </c>
      <c r="K162" s="25">
        <f t="shared" si="236"/>
        <v>0</v>
      </c>
      <c r="L162" s="25">
        <f t="shared" si="236"/>
        <v>0</v>
      </c>
      <c r="M162" s="25">
        <f t="shared" si="236"/>
        <v>0</v>
      </c>
      <c r="N162" s="25">
        <f t="shared" si="236"/>
        <v>0</v>
      </c>
      <c r="O162" s="25">
        <f t="shared" si="236"/>
        <v>0</v>
      </c>
      <c r="P162" s="25">
        <f t="shared" si="236"/>
        <v>0</v>
      </c>
      <c r="Q162" s="25">
        <f t="shared" si="236"/>
        <v>0</v>
      </c>
      <c r="R162" s="25">
        <f t="shared" si="236"/>
        <v>0</v>
      </c>
      <c r="S162" s="25">
        <f t="shared" si="236"/>
        <v>0</v>
      </c>
      <c r="T162" s="25">
        <f t="shared" si="236"/>
        <v>0</v>
      </c>
      <c r="U162" s="25">
        <f t="shared" si="236"/>
        <v>0</v>
      </c>
      <c r="V162" s="25">
        <f t="shared" ref="V162:X162" si="237">V150*31</f>
        <v>0</v>
      </c>
      <c r="W162" s="25">
        <f t="shared" si="237"/>
        <v>0</v>
      </c>
      <c r="X162" s="25">
        <f t="shared" si="237"/>
        <v>0</v>
      </c>
      <c r="Y162" s="25">
        <f t="shared" si="232"/>
        <v>843775090.01262403</v>
      </c>
      <c r="Z162" s="42" t="s">
        <v>194</v>
      </c>
    </row>
    <row r="163" spans="2:26" ht="15" customHeight="1" outlineLevel="1" x14ac:dyDescent="0.3">
      <c r="B163" s="35" t="s">
        <v>186</v>
      </c>
      <c r="C163" s="13" t="s">
        <v>119</v>
      </c>
      <c r="D163" s="13" t="s">
        <v>166</v>
      </c>
      <c r="E163" s="25">
        <f>SUM(E160:E162)</f>
        <v>3515614220.737896</v>
      </c>
      <c r="F163" s="25">
        <f t="shared" ref="F163" si="238">SUM(F160:F162)</f>
        <v>0</v>
      </c>
      <c r="G163" s="25">
        <f t="shared" ref="G163" si="239">SUM(G160:G162)</f>
        <v>0</v>
      </c>
      <c r="H163" s="25">
        <f t="shared" ref="H163" si="240">SUM(H160:H162)</f>
        <v>0</v>
      </c>
      <c r="I163" s="25">
        <f t="shared" ref="I163" si="241">SUM(I160:I162)</f>
        <v>0</v>
      </c>
      <c r="J163" s="25">
        <f t="shared" ref="J163" si="242">SUM(J160:J162)</f>
        <v>0</v>
      </c>
      <c r="K163" s="25">
        <f t="shared" ref="K163" si="243">SUM(K160:K162)</f>
        <v>0</v>
      </c>
      <c r="L163" s="25">
        <f t="shared" ref="L163" si="244">SUM(L160:L162)</f>
        <v>0</v>
      </c>
      <c r="M163" s="25">
        <f t="shared" ref="M163" si="245">SUM(M160:M162)</f>
        <v>0</v>
      </c>
      <c r="N163" s="25">
        <f t="shared" ref="N163" si="246">SUM(N160:N162)</f>
        <v>0</v>
      </c>
      <c r="O163" s="25">
        <f t="shared" ref="O163" si="247">SUM(O160:O162)</f>
        <v>0</v>
      </c>
      <c r="P163" s="25">
        <f t="shared" ref="P163" si="248">SUM(P160:P162)</f>
        <v>0</v>
      </c>
      <c r="Q163" s="25">
        <f t="shared" ref="Q163" si="249">SUM(Q160:Q162)</f>
        <v>0</v>
      </c>
      <c r="R163" s="25">
        <f t="shared" ref="R163" si="250">SUM(R160:R162)</f>
        <v>0</v>
      </c>
      <c r="S163" s="25">
        <f t="shared" ref="S163" si="251">SUM(S160:S162)</f>
        <v>0</v>
      </c>
      <c r="T163" s="25">
        <f t="shared" ref="T163" si="252">SUM(T160:T162)</f>
        <v>0</v>
      </c>
      <c r="U163" s="25">
        <f t="shared" ref="U163:X163" si="253">SUM(U160:U162)</f>
        <v>0</v>
      </c>
      <c r="V163" s="25">
        <f t="shared" si="253"/>
        <v>0</v>
      </c>
      <c r="W163" s="25">
        <f t="shared" si="253"/>
        <v>0</v>
      </c>
      <c r="X163" s="25">
        <f t="shared" si="253"/>
        <v>0</v>
      </c>
      <c r="Y163" s="25">
        <f t="shared" si="232"/>
        <v>3515614220.737896</v>
      </c>
      <c r="Z163" s="42" t="s">
        <v>195</v>
      </c>
    </row>
    <row r="164" spans="2:26" ht="15" customHeight="1" outlineLevel="1" x14ac:dyDescent="0.3">
      <c r="B164" s="35" t="s">
        <v>186</v>
      </c>
      <c r="C164" s="13" t="s">
        <v>119</v>
      </c>
      <c r="D164" s="13" t="s">
        <v>167</v>
      </c>
      <c r="E164" s="25">
        <f>E160+E161*1.5+E162*3</f>
        <v>5423065673.5056314</v>
      </c>
      <c r="F164" s="25">
        <f t="shared" ref="F164:U164" si="254">F160+F161*1.5+F162*3</f>
        <v>0</v>
      </c>
      <c r="G164" s="25">
        <f t="shared" si="254"/>
        <v>0</v>
      </c>
      <c r="H164" s="25">
        <f t="shared" si="254"/>
        <v>0</v>
      </c>
      <c r="I164" s="25">
        <f t="shared" si="254"/>
        <v>0</v>
      </c>
      <c r="J164" s="25">
        <f t="shared" si="254"/>
        <v>0</v>
      </c>
      <c r="K164" s="25">
        <f t="shared" si="254"/>
        <v>0</v>
      </c>
      <c r="L164" s="25">
        <f t="shared" si="254"/>
        <v>0</v>
      </c>
      <c r="M164" s="25">
        <f t="shared" si="254"/>
        <v>0</v>
      </c>
      <c r="N164" s="25">
        <f t="shared" si="254"/>
        <v>0</v>
      </c>
      <c r="O164" s="25">
        <f t="shared" si="254"/>
        <v>0</v>
      </c>
      <c r="P164" s="25">
        <f t="shared" si="254"/>
        <v>0</v>
      </c>
      <c r="Q164" s="25">
        <f t="shared" si="254"/>
        <v>0</v>
      </c>
      <c r="R164" s="25">
        <f t="shared" si="254"/>
        <v>0</v>
      </c>
      <c r="S164" s="25">
        <f t="shared" si="254"/>
        <v>0</v>
      </c>
      <c r="T164" s="25">
        <f t="shared" si="254"/>
        <v>0</v>
      </c>
      <c r="U164" s="25">
        <f t="shared" si="254"/>
        <v>0</v>
      </c>
      <c r="V164" s="25">
        <f t="shared" ref="V164:X164" si="255">V160+V161*1.5+V162*3</f>
        <v>0</v>
      </c>
      <c r="W164" s="25">
        <f t="shared" si="255"/>
        <v>0</v>
      </c>
      <c r="X164" s="25">
        <f t="shared" si="255"/>
        <v>0</v>
      </c>
      <c r="Y164" s="25">
        <f t="shared" si="232"/>
        <v>5423065673.5056314</v>
      </c>
      <c r="Z164" s="42" t="s">
        <v>196</v>
      </c>
    </row>
    <row r="165" spans="2:26" ht="15" customHeight="1" x14ac:dyDescent="0.3">
      <c r="B165" s="6" t="s">
        <v>175</v>
      </c>
    </row>
    <row r="166" spans="2:26" ht="15" customHeight="1" outlineLevel="1" x14ac:dyDescent="0.3">
      <c r="B166" s="35" t="s">
        <v>186</v>
      </c>
      <c r="C166" s="13" t="s">
        <v>119</v>
      </c>
      <c r="D166" s="13" t="s">
        <v>132</v>
      </c>
      <c r="E166" s="25">
        <f>E148*365</f>
        <v>26280430761.700272</v>
      </c>
      <c r="F166" s="25">
        <f t="shared" ref="F166:U166" si="256">F148*365</f>
        <v>0</v>
      </c>
      <c r="G166" s="25">
        <f t="shared" si="256"/>
        <v>0</v>
      </c>
      <c r="H166" s="25">
        <f t="shared" si="256"/>
        <v>0</v>
      </c>
      <c r="I166" s="25">
        <f t="shared" si="256"/>
        <v>0</v>
      </c>
      <c r="J166" s="25">
        <f t="shared" si="256"/>
        <v>0</v>
      </c>
      <c r="K166" s="25">
        <f t="shared" si="256"/>
        <v>0</v>
      </c>
      <c r="L166" s="25">
        <f t="shared" si="256"/>
        <v>0</v>
      </c>
      <c r="M166" s="25">
        <f t="shared" si="256"/>
        <v>0</v>
      </c>
      <c r="N166" s="25">
        <f t="shared" si="256"/>
        <v>0</v>
      </c>
      <c r="O166" s="25">
        <f t="shared" si="256"/>
        <v>0</v>
      </c>
      <c r="P166" s="25">
        <f t="shared" si="256"/>
        <v>0</v>
      </c>
      <c r="Q166" s="25">
        <f t="shared" si="256"/>
        <v>0</v>
      </c>
      <c r="R166" s="25">
        <f t="shared" si="256"/>
        <v>0</v>
      </c>
      <c r="S166" s="25">
        <f t="shared" si="256"/>
        <v>0</v>
      </c>
      <c r="T166" s="25">
        <f t="shared" si="256"/>
        <v>0</v>
      </c>
      <c r="U166" s="25">
        <f t="shared" si="256"/>
        <v>0</v>
      </c>
      <c r="V166" s="25">
        <f t="shared" ref="V166:X166" si="257">V148*365</f>
        <v>0</v>
      </c>
      <c r="W166" s="25">
        <f t="shared" si="257"/>
        <v>0</v>
      </c>
      <c r="X166" s="25">
        <f t="shared" si="257"/>
        <v>0</v>
      </c>
      <c r="Y166" s="25">
        <f t="shared" ref="Y166:Y170" si="258">SUM(E166:X166)</f>
        <v>26280430761.700272</v>
      </c>
      <c r="Z166" s="42" t="s">
        <v>192</v>
      </c>
    </row>
    <row r="167" spans="2:26" ht="15" customHeight="1" outlineLevel="1" x14ac:dyDescent="0.3">
      <c r="B167" s="35" t="s">
        <v>186</v>
      </c>
      <c r="C167" s="13" t="s">
        <v>119</v>
      </c>
      <c r="D167" s="13" t="s">
        <v>133</v>
      </c>
      <c r="E167" s="25">
        <f t="shared" ref="E167:E168" si="259">E149*365</f>
        <v>5178320293.6134119</v>
      </c>
      <c r="F167" s="25">
        <f t="shared" ref="F167:U167" si="260">F149*365</f>
        <v>0</v>
      </c>
      <c r="G167" s="25">
        <f t="shared" si="260"/>
        <v>0</v>
      </c>
      <c r="H167" s="25">
        <f t="shared" si="260"/>
        <v>0</v>
      </c>
      <c r="I167" s="25">
        <f t="shared" si="260"/>
        <v>0</v>
      </c>
      <c r="J167" s="25">
        <f t="shared" si="260"/>
        <v>0</v>
      </c>
      <c r="K167" s="25">
        <f t="shared" si="260"/>
        <v>0</v>
      </c>
      <c r="L167" s="25">
        <f t="shared" si="260"/>
        <v>0</v>
      </c>
      <c r="M167" s="25">
        <f t="shared" si="260"/>
        <v>0</v>
      </c>
      <c r="N167" s="25">
        <f t="shared" si="260"/>
        <v>0</v>
      </c>
      <c r="O167" s="25">
        <f t="shared" si="260"/>
        <v>0</v>
      </c>
      <c r="P167" s="25">
        <f t="shared" si="260"/>
        <v>0</v>
      </c>
      <c r="Q167" s="25">
        <f t="shared" si="260"/>
        <v>0</v>
      </c>
      <c r="R167" s="25">
        <f t="shared" si="260"/>
        <v>0</v>
      </c>
      <c r="S167" s="25">
        <f t="shared" si="260"/>
        <v>0</v>
      </c>
      <c r="T167" s="25">
        <f t="shared" si="260"/>
        <v>0</v>
      </c>
      <c r="U167" s="25">
        <f t="shared" si="260"/>
        <v>0</v>
      </c>
      <c r="V167" s="25">
        <f t="shared" ref="V167:X167" si="261">V149*365</f>
        <v>0</v>
      </c>
      <c r="W167" s="25">
        <f t="shared" si="261"/>
        <v>0</v>
      </c>
      <c r="X167" s="25">
        <f t="shared" si="261"/>
        <v>0</v>
      </c>
      <c r="Y167" s="25">
        <f t="shared" si="258"/>
        <v>5178320293.6134119</v>
      </c>
      <c r="Z167" s="42" t="s">
        <v>193</v>
      </c>
    </row>
    <row r="168" spans="2:26" ht="15" customHeight="1" outlineLevel="1" x14ac:dyDescent="0.3">
      <c r="B168" s="35" t="s">
        <v>186</v>
      </c>
      <c r="C168" s="13" t="s">
        <v>119</v>
      </c>
      <c r="D168" s="13" t="s">
        <v>134</v>
      </c>
      <c r="E168" s="25">
        <f t="shared" si="259"/>
        <v>9934771221.1163788</v>
      </c>
      <c r="F168" s="25">
        <f t="shared" ref="F168:U168" si="262">F150*365</f>
        <v>0</v>
      </c>
      <c r="G168" s="25">
        <f t="shared" si="262"/>
        <v>0</v>
      </c>
      <c r="H168" s="25">
        <f t="shared" si="262"/>
        <v>0</v>
      </c>
      <c r="I168" s="25">
        <f t="shared" si="262"/>
        <v>0</v>
      </c>
      <c r="J168" s="25">
        <f t="shared" si="262"/>
        <v>0</v>
      </c>
      <c r="K168" s="25">
        <f t="shared" si="262"/>
        <v>0</v>
      </c>
      <c r="L168" s="25">
        <f t="shared" si="262"/>
        <v>0</v>
      </c>
      <c r="M168" s="25">
        <f t="shared" si="262"/>
        <v>0</v>
      </c>
      <c r="N168" s="25">
        <f t="shared" si="262"/>
        <v>0</v>
      </c>
      <c r="O168" s="25">
        <f t="shared" si="262"/>
        <v>0</v>
      </c>
      <c r="P168" s="25">
        <f t="shared" si="262"/>
        <v>0</v>
      </c>
      <c r="Q168" s="25">
        <f t="shared" si="262"/>
        <v>0</v>
      </c>
      <c r="R168" s="25">
        <f t="shared" si="262"/>
        <v>0</v>
      </c>
      <c r="S168" s="25">
        <f t="shared" si="262"/>
        <v>0</v>
      </c>
      <c r="T168" s="25">
        <f t="shared" si="262"/>
        <v>0</v>
      </c>
      <c r="U168" s="25">
        <f t="shared" si="262"/>
        <v>0</v>
      </c>
      <c r="V168" s="25">
        <f t="shared" ref="V168:X168" si="263">V150*365</f>
        <v>0</v>
      </c>
      <c r="W168" s="25">
        <f t="shared" si="263"/>
        <v>0</v>
      </c>
      <c r="X168" s="25">
        <f t="shared" si="263"/>
        <v>0</v>
      </c>
      <c r="Y168" s="25">
        <f t="shared" si="258"/>
        <v>9934771221.1163788</v>
      </c>
      <c r="Z168" s="42" t="s">
        <v>194</v>
      </c>
    </row>
    <row r="169" spans="2:26" ht="15" customHeight="1" outlineLevel="1" x14ac:dyDescent="0.3">
      <c r="B169" s="35" t="s">
        <v>186</v>
      </c>
      <c r="C169" s="13" t="s">
        <v>119</v>
      </c>
      <c r="D169" s="13" t="s">
        <v>159</v>
      </c>
      <c r="E169" s="25">
        <f>SUM(E166:E168)</f>
        <v>41393522276.430061</v>
      </c>
      <c r="F169" s="25">
        <f t="shared" ref="F169" si="264">SUM(F166:F168)</f>
        <v>0</v>
      </c>
      <c r="G169" s="25">
        <f t="shared" ref="G169" si="265">SUM(G166:G168)</f>
        <v>0</v>
      </c>
      <c r="H169" s="25">
        <f t="shared" ref="H169" si="266">SUM(H166:H168)</f>
        <v>0</v>
      </c>
      <c r="I169" s="25">
        <f t="shared" ref="I169" si="267">SUM(I166:I168)</f>
        <v>0</v>
      </c>
      <c r="J169" s="25">
        <f t="shared" ref="J169" si="268">SUM(J166:J168)</f>
        <v>0</v>
      </c>
      <c r="K169" s="25">
        <f t="shared" ref="K169" si="269">SUM(K166:K168)</f>
        <v>0</v>
      </c>
      <c r="L169" s="25">
        <f t="shared" ref="L169" si="270">SUM(L166:L168)</f>
        <v>0</v>
      </c>
      <c r="M169" s="25">
        <f t="shared" ref="M169" si="271">SUM(M166:M168)</f>
        <v>0</v>
      </c>
      <c r="N169" s="25">
        <f t="shared" ref="N169" si="272">SUM(N166:N168)</f>
        <v>0</v>
      </c>
      <c r="O169" s="25">
        <f t="shared" ref="O169" si="273">SUM(O166:O168)</f>
        <v>0</v>
      </c>
      <c r="P169" s="25">
        <f t="shared" ref="P169" si="274">SUM(P166:P168)</f>
        <v>0</v>
      </c>
      <c r="Q169" s="25">
        <f t="shared" ref="Q169" si="275">SUM(Q166:Q168)</f>
        <v>0</v>
      </c>
      <c r="R169" s="25">
        <f t="shared" ref="R169" si="276">SUM(R166:R168)</f>
        <v>0</v>
      </c>
      <c r="S169" s="25">
        <f t="shared" ref="S169" si="277">SUM(S166:S168)</f>
        <v>0</v>
      </c>
      <c r="T169" s="25">
        <f t="shared" ref="T169" si="278">SUM(T166:T168)</f>
        <v>0</v>
      </c>
      <c r="U169" s="25">
        <f t="shared" ref="U169:X169" si="279">SUM(U166:U168)</f>
        <v>0</v>
      </c>
      <c r="V169" s="25">
        <f t="shared" si="279"/>
        <v>0</v>
      </c>
      <c r="W169" s="25">
        <f t="shared" si="279"/>
        <v>0</v>
      </c>
      <c r="X169" s="25">
        <f t="shared" si="279"/>
        <v>0</v>
      </c>
      <c r="Y169" s="26">
        <f t="shared" si="258"/>
        <v>41393522276.430061</v>
      </c>
      <c r="Z169" s="42" t="s">
        <v>195</v>
      </c>
    </row>
    <row r="170" spans="2:26" ht="15" customHeight="1" outlineLevel="1" x14ac:dyDescent="0.3">
      <c r="B170" s="35" t="s">
        <v>186</v>
      </c>
      <c r="C170" s="13" t="s">
        <v>119</v>
      </c>
      <c r="D170" s="13" t="s">
        <v>168</v>
      </c>
      <c r="E170" s="25">
        <f>E166+E167*1.5+E168*3</f>
        <v>63852224865.469528</v>
      </c>
      <c r="F170" s="25">
        <f t="shared" ref="F170:U170" si="280">F166+F167*1.5+F168*3</f>
        <v>0</v>
      </c>
      <c r="G170" s="25">
        <f t="shared" si="280"/>
        <v>0</v>
      </c>
      <c r="H170" s="25">
        <f t="shared" si="280"/>
        <v>0</v>
      </c>
      <c r="I170" s="25">
        <f t="shared" si="280"/>
        <v>0</v>
      </c>
      <c r="J170" s="25">
        <f t="shared" si="280"/>
        <v>0</v>
      </c>
      <c r="K170" s="25">
        <f t="shared" si="280"/>
        <v>0</v>
      </c>
      <c r="L170" s="25">
        <f t="shared" si="280"/>
        <v>0</v>
      </c>
      <c r="M170" s="25">
        <f t="shared" si="280"/>
        <v>0</v>
      </c>
      <c r="N170" s="25">
        <f t="shared" si="280"/>
        <v>0</v>
      </c>
      <c r="O170" s="25">
        <f t="shared" si="280"/>
        <v>0</v>
      </c>
      <c r="P170" s="25">
        <f t="shared" si="280"/>
        <v>0</v>
      </c>
      <c r="Q170" s="25">
        <f t="shared" si="280"/>
        <v>0</v>
      </c>
      <c r="R170" s="25">
        <f t="shared" si="280"/>
        <v>0</v>
      </c>
      <c r="S170" s="25">
        <f t="shared" si="280"/>
        <v>0</v>
      </c>
      <c r="T170" s="25">
        <f t="shared" si="280"/>
        <v>0</v>
      </c>
      <c r="U170" s="25">
        <f t="shared" si="280"/>
        <v>0</v>
      </c>
      <c r="V170" s="25">
        <f t="shared" ref="V170:X170" si="281">V166+V167*1.5+V168*3</f>
        <v>0</v>
      </c>
      <c r="W170" s="25">
        <f t="shared" si="281"/>
        <v>0</v>
      </c>
      <c r="X170" s="25">
        <f t="shared" si="281"/>
        <v>0</v>
      </c>
      <c r="Y170" s="26">
        <f t="shared" si="258"/>
        <v>63852224865.469528</v>
      </c>
      <c r="Z170" s="42" t="s">
        <v>196</v>
      </c>
    </row>
    <row r="171" spans="2:26" ht="15" customHeight="1" x14ac:dyDescent="0.3"/>
  </sheetData>
  <mergeCells count="24">
    <mergeCell ref="G4:H4"/>
    <mergeCell ref="I4:J4"/>
    <mergeCell ref="E2:F2"/>
    <mergeCell ref="E3:F3"/>
    <mergeCell ref="I2:J2"/>
    <mergeCell ref="G2:H2"/>
    <mergeCell ref="G3:H3"/>
    <mergeCell ref="I3:J3"/>
    <mergeCell ref="C35:C38"/>
    <mergeCell ref="C9:C15"/>
    <mergeCell ref="C17:C29"/>
    <mergeCell ref="C31:C33"/>
    <mergeCell ref="P2:S2"/>
    <mergeCell ref="P3:S3"/>
    <mergeCell ref="P4:S4"/>
    <mergeCell ref="P5:S5"/>
    <mergeCell ref="K5:L5"/>
    <mergeCell ref="M5:N5"/>
    <mergeCell ref="K2:L2"/>
    <mergeCell ref="M2:N2"/>
    <mergeCell ref="K3:L3"/>
    <mergeCell ref="M3:N3"/>
    <mergeCell ref="K4:L4"/>
    <mergeCell ref="M4:N4"/>
  </mergeCells>
  <phoneticPr fontId="1" type="noConversion"/>
  <conditionalFormatting sqref="C40 C42 C44 C46 C48 C50 C52 C54 C56 C58 C60 C62 C64 C66 C68">
    <cfRule type="cellIs" dxfId="28" priority="5" operator="equal">
      <formula>"Inactif"</formula>
    </cfRule>
    <cfRule type="cellIs" dxfId="27" priority="6" operator="equal">
      <formula>"Actif"</formula>
    </cfRule>
  </conditionalFormatting>
  <conditionalFormatting sqref="E2:F3 I2:J4 M2:N5 E17:X29 E31:X33 E35:X38 E40:X69 E12:X14">
    <cfRule type="cellIs" dxfId="26" priority="9" operator="equal">
      <formula>0</formula>
    </cfRule>
    <cfRule type="containsBlanks" dxfId="25" priority="10">
      <formula>LEN(TRIM(E2))=0</formula>
    </cfRule>
  </conditionalFormatting>
  <conditionalFormatting sqref="E15:X15">
    <cfRule type="cellIs" dxfId="24" priority="7" operator="equal">
      <formula>"UP"</formula>
    </cfRule>
    <cfRule type="cellIs" dxfId="23" priority="8" operator="equal">
      <formula>"OK"</formula>
    </cfRule>
  </conditionalFormatting>
  <conditionalFormatting sqref="F9:X11">
    <cfRule type="cellIs" dxfId="7" priority="3" operator="equal">
      <formula>0</formula>
    </cfRule>
    <cfRule type="containsBlanks" dxfId="6" priority="4">
      <formula>LEN(TRIM(F9))=0</formula>
    </cfRule>
  </conditionalFormatting>
  <conditionalFormatting sqref="E9:E11">
    <cfRule type="cellIs" dxfId="5" priority="1" operator="equal">
      <formula>0</formula>
    </cfRule>
    <cfRule type="containsBlanks" dxfId="4" priority="2">
      <formula>LEN(TRIM(E9))=0</formula>
    </cfRule>
  </conditionalFormatting>
  <dataValidations count="4">
    <dataValidation type="list" allowBlank="1" showInputMessage="1" showErrorMessage="1" sqref="C40 C42 C44 C46 C48 C50 C52 C54 C56 C58 C60 C62 C64 C66 C68" xr:uid="{03C01B5E-A5B3-45F4-B540-F6CE1B1752DF}">
      <formula1>L_ACTI_INACTI</formula1>
    </dataValidation>
    <dataValidation type="list" allowBlank="1" showInputMessage="1" showErrorMessage="1" sqref="E13:X13" xr:uid="{B965CFFD-8DDF-43CA-96F9-9DEC160E0D11}">
      <formula1>L_FDV</formula1>
    </dataValidation>
    <dataValidation type="list" allowBlank="1" showInputMessage="1" showErrorMessage="1" sqref="E3:F3" xr:uid="{9A0151BC-1709-481B-839A-AD66539801A1}">
      <formula1>L_CLASSE</formula1>
    </dataValidation>
    <dataValidation type="list" allowBlank="1" showInputMessage="1" showErrorMessage="1" sqref="I2:J4" xr:uid="{3679CA01-CC32-485C-BA8D-3178052C33AF}">
      <formula1>L_ON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1D46-E0B6-462F-AFD3-7AF14C170E06}">
  <dimension ref="B1:Z171"/>
  <sheetViews>
    <sheetView showGridLines="0" zoomScale="70" zoomScaleNormal="70" workbookViewId="0">
      <pane ySplit="16" topLeftCell="A17" activePane="bottomLeft" state="frozen"/>
      <selection pane="bottomLeft"/>
    </sheetView>
  </sheetViews>
  <sheetFormatPr baseColWidth="10" defaultColWidth="11.44140625" defaultRowHeight="14.4" outlineLevelRow="2" x14ac:dyDescent="0.3"/>
  <cols>
    <col min="1" max="1" width="2.5546875" customWidth="1"/>
    <col min="2" max="2" width="12.109375" customWidth="1"/>
    <col min="3" max="3" width="10.109375" customWidth="1"/>
    <col min="4" max="4" width="43.88671875" bestFit="1" customWidth="1"/>
    <col min="5" max="25" width="10.33203125" customWidth="1"/>
    <col min="26" max="26" width="5.5546875" customWidth="1"/>
  </cols>
  <sheetData>
    <row r="1" spans="2:25" ht="6" customHeight="1" x14ac:dyDescent="0.3"/>
    <row r="2" spans="2:25" ht="14.4" customHeight="1" x14ac:dyDescent="0.3">
      <c r="D2" s="9" t="s">
        <v>214</v>
      </c>
      <c r="E2" s="59">
        <v>10</v>
      </c>
      <c r="F2" s="61"/>
      <c r="G2" s="59" t="s">
        <v>216</v>
      </c>
      <c r="H2" s="59"/>
      <c r="I2" s="59" t="s">
        <v>0</v>
      </c>
      <c r="J2" s="61"/>
      <c r="K2" s="59" t="s">
        <v>219</v>
      </c>
      <c r="L2" s="59"/>
      <c r="M2" s="60">
        <v>9.9000000000000005E-2</v>
      </c>
      <c r="N2" s="60"/>
      <c r="P2" s="58" t="s">
        <v>223</v>
      </c>
      <c r="Q2" s="58"/>
      <c r="R2" s="58"/>
      <c r="S2" s="58"/>
      <c r="T2" s="21">
        <f>Y41+Y43+Y47+Y49+Y57+Y59+Y69</f>
        <v>8.6639999999999995E-2</v>
      </c>
    </row>
    <row r="3" spans="2:25" x14ac:dyDescent="0.3">
      <c r="D3" s="9" t="s">
        <v>215</v>
      </c>
      <c r="E3" s="59" t="s">
        <v>1</v>
      </c>
      <c r="F3" s="61"/>
      <c r="G3" s="58" t="s">
        <v>217</v>
      </c>
      <c r="H3" s="58"/>
      <c r="I3" s="59" t="s">
        <v>0</v>
      </c>
      <c r="J3" s="61"/>
      <c r="K3" s="59" t="s">
        <v>220</v>
      </c>
      <c r="L3" s="59"/>
      <c r="M3" s="60">
        <v>9.7000000000000003E-2</v>
      </c>
      <c r="N3" s="60"/>
      <c r="P3" s="58" t="s">
        <v>224</v>
      </c>
      <c r="Q3" s="58"/>
      <c r="R3" s="58"/>
      <c r="S3" s="58"/>
      <c r="T3" s="21">
        <f>Y41+Y43+Y47+Y49+Y69</f>
        <v>5.6879999999999993E-2</v>
      </c>
    </row>
    <row r="4" spans="2:25" x14ac:dyDescent="0.3">
      <c r="E4" s="2"/>
      <c r="F4" s="2"/>
      <c r="G4" s="59" t="s">
        <v>218</v>
      </c>
      <c r="H4" s="59"/>
      <c r="I4" s="59" t="s">
        <v>0</v>
      </c>
      <c r="J4" s="61"/>
      <c r="K4" s="59" t="s">
        <v>221</v>
      </c>
      <c r="L4" s="59"/>
      <c r="M4" s="60">
        <v>0.1</v>
      </c>
      <c r="N4" s="60"/>
      <c r="P4" s="58" t="s">
        <v>225</v>
      </c>
      <c r="Q4" s="58"/>
      <c r="R4" s="58"/>
      <c r="S4" s="58"/>
      <c r="T4" s="21">
        <f>Y41+Y43+Y45+Y47+Y49+Y53+Y69</f>
        <v>9.4320000000000015E-2</v>
      </c>
    </row>
    <row r="5" spans="2:25" ht="15" customHeight="1" x14ac:dyDescent="0.3">
      <c r="D5" s="37"/>
      <c r="K5" s="59" t="s">
        <v>222</v>
      </c>
      <c r="L5" s="59"/>
      <c r="M5" s="60">
        <v>9.8000000000000004E-2</v>
      </c>
      <c r="N5" s="60"/>
      <c r="P5" s="58" t="s">
        <v>226</v>
      </c>
      <c r="Q5" s="58"/>
      <c r="R5" s="58"/>
      <c r="S5" s="58"/>
      <c r="T5" s="21">
        <f>Y65</f>
        <v>0</v>
      </c>
    </row>
    <row r="6" spans="2:25" ht="23.25" customHeight="1" x14ac:dyDescent="0.3">
      <c r="B6" s="36" t="s">
        <v>186</v>
      </c>
      <c r="C6" s="37" t="s">
        <v>188</v>
      </c>
      <c r="D6" s="37"/>
    </row>
    <row r="7" spans="2:25" ht="23.25" customHeight="1" x14ac:dyDescent="0.45">
      <c r="B7" s="38" t="s">
        <v>186</v>
      </c>
      <c r="C7" s="39" t="s">
        <v>191</v>
      </c>
    </row>
    <row r="8" spans="2:25" ht="30.9" customHeight="1" x14ac:dyDescent="0.3">
      <c r="D8" s="28" t="s">
        <v>181</v>
      </c>
      <c r="E8" s="29" t="s">
        <v>3</v>
      </c>
      <c r="F8" s="29" t="s">
        <v>4</v>
      </c>
      <c r="G8" s="29" t="s">
        <v>5</v>
      </c>
      <c r="H8" s="29" t="s">
        <v>6</v>
      </c>
      <c r="I8" s="29" t="s">
        <v>7</v>
      </c>
      <c r="J8" s="29" t="s">
        <v>8</v>
      </c>
      <c r="K8" s="29" t="s">
        <v>9</v>
      </c>
      <c r="L8" s="29" t="s">
        <v>10</v>
      </c>
      <c r="M8" s="29" t="s">
        <v>11</v>
      </c>
      <c r="N8" s="29" t="s">
        <v>12</v>
      </c>
      <c r="O8" s="29" t="s">
        <v>13</v>
      </c>
      <c r="P8" s="29" t="s">
        <v>14</v>
      </c>
      <c r="Q8" s="29" t="s">
        <v>15</v>
      </c>
      <c r="R8" s="29" t="s">
        <v>16</v>
      </c>
      <c r="S8" s="29" t="s">
        <v>17</v>
      </c>
      <c r="T8" s="29" t="s">
        <v>18</v>
      </c>
      <c r="U8" s="29" t="s">
        <v>19</v>
      </c>
      <c r="V8" s="29" t="s">
        <v>20</v>
      </c>
      <c r="W8" s="29" t="s">
        <v>21</v>
      </c>
      <c r="X8" s="29" t="s">
        <v>22</v>
      </c>
      <c r="Y8" s="30" t="s">
        <v>23</v>
      </c>
    </row>
    <row r="9" spans="2:25" x14ac:dyDescent="0.3">
      <c r="B9" s="31" t="s">
        <v>186</v>
      </c>
      <c r="C9" s="57" t="s">
        <v>187</v>
      </c>
      <c r="D9" s="7" t="s">
        <v>182</v>
      </c>
      <c r="E9" s="9" t="s">
        <v>24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2:25" x14ac:dyDescent="0.3">
      <c r="B10" s="32" t="s">
        <v>186</v>
      </c>
      <c r="C10" s="57"/>
      <c r="D10" s="7" t="s">
        <v>183</v>
      </c>
      <c r="E10" s="9" t="s">
        <v>185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2:25" x14ac:dyDescent="0.3">
      <c r="B11" s="31" t="s">
        <v>186</v>
      </c>
      <c r="C11" s="57"/>
      <c r="D11" s="7" t="s">
        <v>184</v>
      </c>
      <c r="E11" s="9">
        <f t="shared" ref="E11:U11" si="0">--MID(E10,SEARCH(":",E10,SEARCH(":",E10)+1)+1,LEN(E10))</f>
        <v>15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2:25" ht="15" customHeight="1" x14ac:dyDescent="0.3">
      <c r="B12" s="31" t="s">
        <v>186</v>
      </c>
      <c r="C12" s="57"/>
      <c r="D12" s="7" t="s">
        <v>25</v>
      </c>
      <c r="E12" s="9">
        <v>-130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1"/>
    </row>
    <row r="13" spans="2:25" ht="15" customHeight="1" x14ac:dyDescent="0.3">
      <c r="B13" s="31" t="s">
        <v>186</v>
      </c>
      <c r="C13" s="57"/>
      <c r="D13" s="7" t="s">
        <v>26</v>
      </c>
      <c r="E13" s="9" t="s">
        <v>28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1"/>
    </row>
    <row r="14" spans="2:25" ht="15" customHeight="1" x14ac:dyDescent="0.3">
      <c r="B14" s="34" t="s">
        <v>186</v>
      </c>
      <c r="C14" s="57"/>
      <c r="D14" s="7" t="s">
        <v>29</v>
      </c>
      <c r="E14" s="9">
        <f>IF(AND($E$3="Collecteur",$I$2="Oui"),(E17+E18+E19)*8*1.1,(E17+E18+E19)*8)</f>
        <v>1040</v>
      </c>
      <c r="F14" s="9">
        <f t="shared" ref="F14:X14" si="1">IF(AND($E$3="Collecteur",$I$2="Oui"),(F17+F18+F19)*8*1.1,(F17+F18+F19)*8)</f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  <c r="N14" s="9">
        <f t="shared" si="1"/>
        <v>0</v>
      </c>
      <c r="O14" s="9">
        <f t="shared" si="1"/>
        <v>0</v>
      </c>
      <c r="P14" s="9">
        <f t="shared" si="1"/>
        <v>0</v>
      </c>
      <c r="Q14" s="9">
        <f t="shared" si="1"/>
        <v>0</v>
      </c>
      <c r="R14" s="9">
        <f t="shared" si="1"/>
        <v>0</v>
      </c>
      <c r="S14" s="9">
        <f t="shared" si="1"/>
        <v>0</v>
      </c>
      <c r="T14" s="9">
        <f t="shared" si="1"/>
        <v>0</v>
      </c>
      <c r="U14" s="9">
        <f t="shared" si="1"/>
        <v>0</v>
      </c>
      <c r="V14" s="9">
        <f t="shared" si="1"/>
        <v>0</v>
      </c>
      <c r="W14" s="9">
        <f t="shared" si="1"/>
        <v>0</v>
      </c>
      <c r="X14" s="9">
        <f t="shared" si="1"/>
        <v>0</v>
      </c>
      <c r="Y14" s="11"/>
    </row>
    <row r="15" spans="2:25" ht="15" customHeight="1" x14ac:dyDescent="0.3">
      <c r="B15" s="34" t="s">
        <v>186</v>
      </c>
      <c r="C15" s="57"/>
      <c r="D15" s="7" t="s">
        <v>30</v>
      </c>
      <c r="E15" s="9" t="str">
        <f>IF(E28&gt;=E14,"OK","UP")</f>
        <v>OK</v>
      </c>
      <c r="F15" s="9" t="str">
        <f t="shared" ref="F15:U15" si="2">IF(F28&gt;=F14,"OK","UP")</f>
        <v>OK</v>
      </c>
      <c r="G15" s="9" t="str">
        <f t="shared" si="2"/>
        <v>OK</v>
      </c>
      <c r="H15" s="9" t="str">
        <f t="shared" si="2"/>
        <v>OK</v>
      </c>
      <c r="I15" s="9" t="str">
        <f t="shared" si="2"/>
        <v>OK</v>
      </c>
      <c r="J15" s="9" t="str">
        <f t="shared" si="2"/>
        <v>OK</v>
      </c>
      <c r="K15" s="9" t="str">
        <f t="shared" si="2"/>
        <v>OK</v>
      </c>
      <c r="L15" s="9" t="str">
        <f t="shared" si="2"/>
        <v>OK</v>
      </c>
      <c r="M15" s="9" t="str">
        <f t="shared" si="2"/>
        <v>OK</v>
      </c>
      <c r="N15" s="9" t="str">
        <f t="shared" si="2"/>
        <v>OK</v>
      </c>
      <c r="O15" s="9" t="str">
        <f t="shared" si="2"/>
        <v>OK</v>
      </c>
      <c r="P15" s="9" t="str">
        <f t="shared" si="2"/>
        <v>OK</v>
      </c>
      <c r="Q15" s="9" t="str">
        <f t="shared" si="2"/>
        <v>OK</v>
      </c>
      <c r="R15" s="9" t="str">
        <f t="shared" si="2"/>
        <v>OK</v>
      </c>
      <c r="S15" s="9" t="str">
        <f t="shared" si="2"/>
        <v>OK</v>
      </c>
      <c r="T15" s="9" t="str">
        <f t="shared" si="2"/>
        <v>OK</v>
      </c>
      <c r="U15" s="9" t="str">
        <f t="shared" si="2"/>
        <v>OK</v>
      </c>
      <c r="V15" s="9" t="str">
        <f t="shared" ref="V15:X15" si="3">IF(V28&gt;=V14,"OK","UP")</f>
        <v>OK</v>
      </c>
      <c r="W15" s="9" t="str">
        <f t="shared" si="3"/>
        <v>OK</v>
      </c>
      <c r="X15" s="9" t="str">
        <f t="shared" si="3"/>
        <v>OK</v>
      </c>
      <c r="Y15" s="11"/>
    </row>
    <row r="16" spans="2:25" ht="15" customHeight="1" x14ac:dyDescent="0.3">
      <c r="B16" s="3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2:25" ht="15" customHeight="1" x14ac:dyDescent="0.3">
      <c r="B17" s="31" t="s">
        <v>186</v>
      </c>
      <c r="C17" s="57" t="s">
        <v>189</v>
      </c>
      <c r="D17" s="33" t="s">
        <v>31</v>
      </c>
      <c r="E17" s="9">
        <v>48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>
        <f>SUM(E17:X17)</f>
        <v>48</v>
      </c>
    </row>
    <row r="18" spans="2:25" ht="15" customHeight="1" x14ac:dyDescent="0.3">
      <c r="B18" s="31" t="s">
        <v>186</v>
      </c>
      <c r="C18" s="57"/>
      <c r="D18" s="33" t="s">
        <v>32</v>
      </c>
      <c r="E18" s="9">
        <v>39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>
        <f t="shared" ref="Y18:Y28" si="4">SUM(E18:X18)</f>
        <v>39</v>
      </c>
    </row>
    <row r="19" spans="2:25" ht="15" customHeight="1" x14ac:dyDescent="0.3">
      <c r="B19" s="31" t="s">
        <v>186</v>
      </c>
      <c r="C19" s="57"/>
      <c r="D19" s="33" t="s">
        <v>33</v>
      </c>
      <c r="E19" s="9">
        <v>43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>
        <f t="shared" si="4"/>
        <v>43</v>
      </c>
    </row>
    <row r="20" spans="2:25" ht="15" customHeight="1" x14ac:dyDescent="0.3">
      <c r="B20" s="31" t="s">
        <v>186</v>
      </c>
      <c r="C20" s="57"/>
      <c r="D20" s="33" t="s">
        <v>34</v>
      </c>
      <c r="E20" s="9">
        <v>24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>
        <f t="shared" si="4"/>
        <v>24</v>
      </c>
    </row>
    <row r="21" spans="2:25" ht="15" customHeight="1" x14ac:dyDescent="0.3">
      <c r="B21" s="31" t="s">
        <v>186</v>
      </c>
      <c r="C21" s="57"/>
      <c r="D21" s="33" t="s">
        <v>145</v>
      </c>
      <c r="E21" s="9">
        <v>23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>
        <f t="shared" si="4"/>
        <v>23</v>
      </c>
    </row>
    <row r="22" spans="2:25" ht="15" customHeight="1" x14ac:dyDescent="0.3">
      <c r="B22" s="31" t="s">
        <v>186</v>
      </c>
      <c r="C22" s="57"/>
      <c r="D22" s="33" t="s">
        <v>146</v>
      </c>
      <c r="E22" s="9">
        <v>13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>
        <f t="shared" si="4"/>
        <v>13</v>
      </c>
    </row>
    <row r="23" spans="2:25" ht="15" customHeight="1" x14ac:dyDescent="0.3">
      <c r="B23" s="31" t="s">
        <v>186</v>
      </c>
      <c r="C23" s="57"/>
      <c r="D23" s="33" t="s">
        <v>147</v>
      </c>
      <c r="E23" s="9">
        <v>17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>
        <f t="shared" si="4"/>
        <v>17</v>
      </c>
    </row>
    <row r="24" spans="2:25" ht="15" customHeight="1" x14ac:dyDescent="0.3">
      <c r="B24" s="31" t="s">
        <v>186</v>
      </c>
      <c r="C24" s="57"/>
      <c r="D24" s="33" t="s">
        <v>148</v>
      </c>
      <c r="E24" s="9">
        <v>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>
        <f t="shared" si="4"/>
        <v>0</v>
      </c>
    </row>
    <row r="25" spans="2:25" ht="15" customHeight="1" x14ac:dyDescent="0.3">
      <c r="B25" s="31" t="s">
        <v>186</v>
      </c>
      <c r="C25" s="57"/>
      <c r="D25" s="33" t="s">
        <v>149</v>
      </c>
      <c r="E25" s="9">
        <v>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>
        <f t="shared" si="4"/>
        <v>0</v>
      </c>
    </row>
    <row r="26" spans="2:25" ht="15" customHeight="1" x14ac:dyDescent="0.3">
      <c r="B26" s="31" t="s">
        <v>186</v>
      </c>
      <c r="C26" s="57"/>
      <c r="D26" s="33" t="s">
        <v>150</v>
      </c>
      <c r="E26" s="9">
        <v>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>
        <f t="shared" si="4"/>
        <v>0</v>
      </c>
    </row>
    <row r="27" spans="2:25" ht="15" customHeight="1" x14ac:dyDescent="0.3">
      <c r="B27" s="31" t="s">
        <v>186</v>
      </c>
      <c r="C27" s="57"/>
      <c r="D27" s="33" t="s">
        <v>151</v>
      </c>
      <c r="E27" s="9">
        <v>15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f t="shared" si="4"/>
        <v>15</v>
      </c>
    </row>
    <row r="28" spans="2:25" ht="15" customHeight="1" x14ac:dyDescent="0.3">
      <c r="B28" s="31" t="s">
        <v>186</v>
      </c>
      <c r="C28" s="57"/>
      <c r="D28" s="33" t="s">
        <v>35</v>
      </c>
      <c r="E28" s="9">
        <v>1200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>
        <f t="shared" si="4"/>
        <v>1200</v>
      </c>
    </row>
    <row r="29" spans="2:25" ht="15" customHeight="1" x14ac:dyDescent="0.3">
      <c r="B29" s="31" t="s">
        <v>186</v>
      </c>
      <c r="C29" s="57"/>
      <c r="D29" s="33" t="s">
        <v>36</v>
      </c>
      <c r="E29" s="9">
        <v>23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>
        <f>AVERAGE(E29:X29)</f>
        <v>23</v>
      </c>
    </row>
    <row r="30" spans="2:25" ht="15" customHeight="1" x14ac:dyDescent="0.3">
      <c r="B30" s="3"/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2:25" ht="15" customHeight="1" x14ac:dyDescent="0.3">
      <c r="B31" s="31" t="s">
        <v>186</v>
      </c>
      <c r="C31" s="57" t="s">
        <v>76</v>
      </c>
      <c r="D31" s="33" t="s">
        <v>37</v>
      </c>
      <c r="E31" s="12">
        <v>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9"/>
    </row>
    <row r="32" spans="2:25" ht="15" customHeight="1" x14ac:dyDescent="0.3">
      <c r="B32" s="31" t="s">
        <v>186</v>
      </c>
      <c r="C32" s="57"/>
      <c r="D32" s="33" t="s">
        <v>38</v>
      </c>
      <c r="E32" s="12">
        <v>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9"/>
    </row>
    <row r="33" spans="2:25" ht="15" customHeight="1" x14ac:dyDescent="0.3">
      <c r="B33" s="31" t="s">
        <v>186</v>
      </c>
      <c r="C33" s="57"/>
      <c r="D33" s="33" t="s">
        <v>39</v>
      </c>
      <c r="E33" s="12">
        <v>0.4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9"/>
    </row>
    <row r="34" spans="2:25" ht="15" customHeight="1" x14ac:dyDescent="0.3">
      <c r="B34" s="3"/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ht="15" customHeight="1" x14ac:dyDescent="0.3">
      <c r="B35" s="31" t="s">
        <v>186</v>
      </c>
      <c r="C35" s="57" t="s">
        <v>190</v>
      </c>
      <c r="D35" s="33" t="s">
        <v>40</v>
      </c>
      <c r="E35" s="9">
        <v>0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>
        <f t="shared" ref="Y35:Y38" si="5">SUM(E35:X35)</f>
        <v>0</v>
      </c>
    </row>
    <row r="36" spans="2:25" ht="15" customHeight="1" x14ac:dyDescent="0.3">
      <c r="B36" s="31" t="s">
        <v>186</v>
      </c>
      <c r="C36" s="57"/>
      <c r="D36" s="33" t="s">
        <v>41</v>
      </c>
      <c r="E36" s="9">
        <v>17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>
        <f t="shared" si="5"/>
        <v>17</v>
      </c>
    </row>
    <row r="37" spans="2:25" ht="15" customHeight="1" x14ac:dyDescent="0.3">
      <c r="B37" s="31" t="s">
        <v>186</v>
      </c>
      <c r="C37" s="57"/>
      <c r="D37" s="33" t="s">
        <v>42</v>
      </c>
      <c r="E37" s="9">
        <v>13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>
        <f t="shared" si="5"/>
        <v>13</v>
      </c>
    </row>
    <row r="38" spans="2:25" ht="15" customHeight="1" x14ac:dyDescent="0.3">
      <c r="B38" s="31" t="s">
        <v>186</v>
      </c>
      <c r="C38" s="57"/>
      <c r="D38" s="33" t="s">
        <v>43</v>
      </c>
      <c r="E38" s="9">
        <v>0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>
        <f t="shared" si="5"/>
        <v>0</v>
      </c>
    </row>
    <row r="39" spans="2:25" ht="15" customHeight="1" x14ac:dyDescent="0.3">
      <c r="B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5" ht="15" customHeight="1" x14ac:dyDescent="0.3">
      <c r="B40" s="31" t="s">
        <v>186</v>
      </c>
      <c r="C40" s="9" t="s">
        <v>135</v>
      </c>
      <c r="D40" s="7" t="s">
        <v>44</v>
      </c>
      <c r="E40" s="9">
        <v>19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3">
        <f>SUM(E40:X40)</f>
        <v>19</v>
      </c>
    </row>
    <row r="41" spans="2:25" ht="15" customHeight="1" outlineLevel="1" x14ac:dyDescent="0.3">
      <c r="B41" s="34" t="s">
        <v>186</v>
      </c>
      <c r="C41" s="13"/>
      <c r="D41" s="14" t="s">
        <v>45</v>
      </c>
      <c r="E41" s="15">
        <f>IF($C$40="Inactif",0,IF(E13="Rocta",E40*0.06%+E40*0.06%*$M$4,IF(E13="Humains",E40*0.06%+E40*0.06%*$M$2+E40*0.06%*E35*0.5%,IF(E13="Méca",E40*0.06%+E40*0.06%*$M$3+E40*0.06%*E36*0.3%+E40*0.06%*E37*0.4%,E40*0.06%+E40*0.06%*$M$5+E40*0.06%*E38*0.25%))))</f>
        <v>1.3679999999999998E-2</v>
      </c>
      <c r="F41" s="15">
        <f t="shared" ref="F41:U41" si="6">IF($C$40="Inactif",0,IF(F13="Rocta",F40*0.06%+F40*0.06%*$M$4,IF(F13="Humains",F40*0.06%+F40*0.06%*$M$2+F40*0.06%*F35*0.5%,IF(F13="Méca",F40*0.06%+F40*0.06%*$M$3+F40*0.06%*F36*0.3%+F40*0.06%*F37*0.4%,F40*0.06%+F40*0.06%*$M$5+F40*0.06%*F38*0.25%))))</f>
        <v>0</v>
      </c>
      <c r="G41" s="15">
        <f t="shared" si="6"/>
        <v>0</v>
      </c>
      <c r="H41" s="15">
        <f t="shared" si="6"/>
        <v>0</v>
      </c>
      <c r="I41" s="15">
        <f t="shared" si="6"/>
        <v>0</v>
      </c>
      <c r="J41" s="15">
        <f t="shared" si="6"/>
        <v>0</v>
      </c>
      <c r="K41" s="15">
        <f t="shared" si="6"/>
        <v>0</v>
      </c>
      <c r="L41" s="15">
        <f t="shared" si="6"/>
        <v>0</v>
      </c>
      <c r="M41" s="15">
        <f t="shared" si="6"/>
        <v>0</v>
      </c>
      <c r="N41" s="15">
        <f t="shared" si="6"/>
        <v>0</v>
      </c>
      <c r="O41" s="15">
        <f t="shared" si="6"/>
        <v>0</v>
      </c>
      <c r="P41" s="15">
        <f t="shared" si="6"/>
        <v>0</v>
      </c>
      <c r="Q41" s="15">
        <f t="shared" si="6"/>
        <v>0</v>
      </c>
      <c r="R41" s="15">
        <f t="shared" si="6"/>
        <v>0</v>
      </c>
      <c r="S41" s="15">
        <f t="shared" si="6"/>
        <v>0</v>
      </c>
      <c r="T41" s="15">
        <f t="shared" si="6"/>
        <v>0</v>
      </c>
      <c r="U41" s="15">
        <f t="shared" si="6"/>
        <v>0</v>
      </c>
      <c r="V41" s="15">
        <f t="shared" ref="V41:X41" si="7">IF($C$40="Inactif",0,IF(V13="Rocta",V40*0.06%+V40*0.06%*$M$4,IF(V13="Humains",V40*0.06%+V40*0.06%*$M$2+V40*0.06%*V35*0.5%,IF(V13="Méca",V40*0.06%+V40*0.06%*$M$3+V40*0.06%*V36*0.3%+V40*0.06%*V37*0.4%,V40*0.06%+V40*0.06%*$M$5+V40*0.06%*V38*0.25%))))</f>
        <v>0</v>
      </c>
      <c r="W41" s="15">
        <f t="shared" si="7"/>
        <v>0</v>
      </c>
      <c r="X41" s="15">
        <f t="shared" si="7"/>
        <v>0</v>
      </c>
      <c r="Y41" s="15">
        <f>SUM(E41:X41)</f>
        <v>1.3679999999999998E-2</v>
      </c>
    </row>
    <row r="42" spans="2:25" ht="15" customHeight="1" x14ac:dyDescent="0.3">
      <c r="B42" s="31" t="s">
        <v>186</v>
      </c>
      <c r="C42" s="9" t="s">
        <v>135</v>
      </c>
      <c r="D42" s="7" t="s">
        <v>46</v>
      </c>
      <c r="E42" s="9">
        <v>16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3">
        <f>SUM(E42:X42)</f>
        <v>16</v>
      </c>
    </row>
    <row r="43" spans="2:25" ht="15" customHeight="1" outlineLevel="1" x14ac:dyDescent="0.3">
      <c r="B43" s="34" t="s">
        <v>186</v>
      </c>
      <c r="C43" s="13"/>
      <c r="D43" s="14" t="s">
        <v>45</v>
      </c>
      <c r="E43" s="15">
        <f>IF($C$42="Inactif",0,IF(E13="Rocta",E42*0.06%+E42*0.06%*$M$4,IF(E13="Humains",E42*0.06%+E42*0.06%*$M$2+E42*0.06%*E35*0.5%,IF(E13="Méca",E42*0.06%+E42*0.06%*$M$3+E42*0.06%*E36*0.3%+E42*0.06%*E37*0.4%,E42*0.06%+E42*0.06%*$M$5+E42*0.06%*E38*0.25%))))</f>
        <v>1.1519999999999999E-2</v>
      </c>
      <c r="F43" s="15">
        <f t="shared" ref="F43:U43" si="8">IF($C$42="Inactif",0,IF(F13="Rocta",F42*0.06%+F42*0.06%*$M$4,IF(F13="Humains",F42*0.06%+F42*0.06%*$M$2+F42*0.06%*F35*0.5%,IF(F13="Méca",F42*0.06%+F42*0.06%*$M$3+F42*0.06%*F36*0.3%+F42*0.06%*F37*0.4%,F42*0.06%+F42*0.06%*$M$5+F42*0.06%*F38*0.25%))))</f>
        <v>0</v>
      </c>
      <c r="G43" s="15">
        <f t="shared" si="8"/>
        <v>0</v>
      </c>
      <c r="H43" s="15">
        <f t="shared" si="8"/>
        <v>0</v>
      </c>
      <c r="I43" s="15">
        <f t="shared" si="8"/>
        <v>0</v>
      </c>
      <c r="J43" s="15">
        <f t="shared" si="8"/>
        <v>0</v>
      </c>
      <c r="K43" s="15">
        <f t="shared" si="8"/>
        <v>0</v>
      </c>
      <c r="L43" s="15">
        <f t="shared" si="8"/>
        <v>0</v>
      </c>
      <c r="M43" s="15">
        <f t="shared" si="8"/>
        <v>0</v>
      </c>
      <c r="N43" s="15">
        <f t="shared" si="8"/>
        <v>0</v>
      </c>
      <c r="O43" s="15">
        <f t="shared" si="8"/>
        <v>0</v>
      </c>
      <c r="P43" s="15">
        <f t="shared" si="8"/>
        <v>0</v>
      </c>
      <c r="Q43" s="15">
        <f t="shared" si="8"/>
        <v>0</v>
      </c>
      <c r="R43" s="15">
        <f t="shared" si="8"/>
        <v>0</v>
      </c>
      <c r="S43" s="15">
        <f t="shared" si="8"/>
        <v>0</v>
      </c>
      <c r="T43" s="15">
        <f t="shared" si="8"/>
        <v>0</v>
      </c>
      <c r="U43" s="15">
        <f t="shared" si="8"/>
        <v>0</v>
      </c>
      <c r="V43" s="15">
        <f t="shared" ref="V43:X43" si="9">IF($C$42="Inactif",0,IF(V13="Rocta",V42*0.06%+V42*0.06%*$M$4,IF(V13="Humains",V42*0.06%+V42*0.06%*$M$2+V42*0.06%*V35*0.5%,IF(V13="Méca",V42*0.06%+V42*0.06%*$M$3+V42*0.06%*V36*0.3%+V42*0.06%*V37*0.4%,V42*0.06%+V42*0.06%*$M$5+V42*0.06%*V38*0.25%))))</f>
        <v>0</v>
      </c>
      <c r="W43" s="15">
        <f t="shared" si="9"/>
        <v>0</v>
      </c>
      <c r="X43" s="15">
        <f t="shared" si="9"/>
        <v>0</v>
      </c>
      <c r="Y43" s="15">
        <f>SUM(E43:X43)</f>
        <v>1.1519999999999999E-2</v>
      </c>
    </row>
    <row r="44" spans="2:25" ht="15" customHeight="1" x14ac:dyDescent="0.3">
      <c r="B44" s="31" t="s">
        <v>186</v>
      </c>
      <c r="C44" s="9" t="s">
        <v>135</v>
      </c>
      <c r="D44" s="7" t="s">
        <v>47</v>
      </c>
      <c r="E44" s="9">
        <v>20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3">
        <f t="shared" ref="Y44:Y66" si="10">SUM(E44:X44)</f>
        <v>20</v>
      </c>
    </row>
    <row r="45" spans="2:25" ht="15" customHeight="1" outlineLevel="1" x14ac:dyDescent="0.3">
      <c r="B45" s="34" t="s">
        <v>186</v>
      </c>
      <c r="C45" s="13"/>
      <c r="D45" s="14" t="s">
        <v>48</v>
      </c>
      <c r="E45" s="15">
        <f>IF($C$44="Inactif",0,IF(E13="Rocta",E44*0.08%+E44*0.08%*$M$4,IF(E13="Humains",E44*0.08%+E44*0.08%*$M$2+E44*0.08%*E35*0.5%,IF(E13="Méca",E44*0.08%+E44*0.08%*$M$3+E44*0.08%*E36*0.3%+E44*0.08%*E37*0.4%,E44*0.08%+E44*0.08%*$M$5+E44*0.08%*E38*0.25%))))</f>
        <v>1.9200000000000002E-2</v>
      </c>
      <c r="F45" s="15">
        <f t="shared" ref="F45:U45" si="11">IF($C$44="Inactif",0,IF(F13="Rocta",F44*0.08%+F44*0.08%*$M$4,IF(F13="Humains",F44*0.08%+F44*0.08%*$M$2+F44*0.08%*F35*0.5%,IF(F13="Méca",F44*0.08%+F44*0.08%*$M$3+F44*0.08%*F36*0.3%+F44*0.08%*F37*0.4%,F44*0.08%+F44*0.08%*$M$5+F44*0.08%*F38*0.25%))))</f>
        <v>0</v>
      </c>
      <c r="G45" s="15">
        <f t="shared" si="11"/>
        <v>0</v>
      </c>
      <c r="H45" s="15">
        <f t="shared" si="11"/>
        <v>0</v>
      </c>
      <c r="I45" s="15">
        <f t="shared" si="11"/>
        <v>0</v>
      </c>
      <c r="J45" s="15">
        <f t="shared" si="11"/>
        <v>0</v>
      </c>
      <c r="K45" s="15">
        <f t="shared" si="11"/>
        <v>0</v>
      </c>
      <c r="L45" s="15">
        <f t="shared" si="11"/>
        <v>0</v>
      </c>
      <c r="M45" s="15">
        <f t="shared" si="11"/>
        <v>0</v>
      </c>
      <c r="N45" s="15">
        <f t="shared" si="11"/>
        <v>0</v>
      </c>
      <c r="O45" s="15">
        <f t="shared" si="11"/>
        <v>0</v>
      </c>
      <c r="P45" s="15">
        <f t="shared" si="11"/>
        <v>0</v>
      </c>
      <c r="Q45" s="15">
        <f t="shared" si="11"/>
        <v>0</v>
      </c>
      <c r="R45" s="15">
        <f t="shared" si="11"/>
        <v>0</v>
      </c>
      <c r="S45" s="15">
        <f t="shared" si="11"/>
        <v>0</v>
      </c>
      <c r="T45" s="15">
        <f t="shared" si="11"/>
        <v>0</v>
      </c>
      <c r="U45" s="15">
        <f t="shared" si="11"/>
        <v>0</v>
      </c>
      <c r="V45" s="15">
        <f t="shared" ref="V45:X45" si="12">IF($C$44="Inactif",0,IF(V13="Rocta",V44*0.08%+V44*0.08%*$M$4,IF(V13="Humains",V44*0.08%+V44*0.08%*$M$2+V44*0.08%*V35*0.5%,IF(V13="Méca",V44*0.08%+V44*0.08%*$M$3+V44*0.08%*V36*0.3%+V44*0.08%*V37*0.4%,V44*0.08%+V44*0.08%*$M$5+V44*0.08%*V38*0.25%))))</f>
        <v>0</v>
      </c>
      <c r="W45" s="15">
        <f t="shared" si="12"/>
        <v>0</v>
      </c>
      <c r="X45" s="15">
        <f t="shared" si="12"/>
        <v>0</v>
      </c>
      <c r="Y45" s="15">
        <f>SUM(E45:X45)</f>
        <v>1.9200000000000002E-2</v>
      </c>
    </row>
    <row r="46" spans="2:25" ht="15" customHeight="1" x14ac:dyDescent="0.3">
      <c r="B46" s="31" t="s">
        <v>186</v>
      </c>
      <c r="C46" s="9" t="s">
        <v>135</v>
      </c>
      <c r="D46" s="7" t="s">
        <v>49</v>
      </c>
      <c r="E46" s="9">
        <v>16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3">
        <f t="shared" si="10"/>
        <v>16</v>
      </c>
    </row>
    <row r="47" spans="2:25" ht="15" customHeight="1" outlineLevel="1" x14ac:dyDescent="0.3">
      <c r="B47" s="34" t="s">
        <v>186</v>
      </c>
      <c r="C47" s="13"/>
      <c r="D47" s="14" t="s">
        <v>45</v>
      </c>
      <c r="E47" s="15">
        <f>IF($C$46="Inactif",0,IF(E13="Rocta",E46*0.06%+E46*0.06%*$M$4,IF(E13="Humains",E46*0.06%+E46*0.06%*$M$2+E46*0.06%*E35*0.5%,IF(E13="Méca",E46*0.06%+E46*0.06%*$M$3+E46*0.06%*E36*0.3%+E46*0.06%*E37*0.4%,E46*0.06%+E46*0.06%*$M$5+E46*0.06%*E38*0.25%))))</f>
        <v>1.1519999999999999E-2</v>
      </c>
      <c r="F47" s="15">
        <f t="shared" ref="F47:U47" si="13">IF($C$46="Inactif",0,IF(F13="Rocta",F46*0.06%+F46*0.06%*$M$4,IF(F13="Humains",F46*0.06%+F46*0.06%*$M$2+F46*0.06%*F35*0.5%,IF(F13="Méca",F46*0.06%+F46*0.06%*$M$3+F46*0.06%*F36*0.3%+F46*0.06%*F37*0.4%,F46*0.06%+F46*0.06%*$M$5+F46*0.06%*F38*0.25%))))</f>
        <v>0</v>
      </c>
      <c r="G47" s="15">
        <f t="shared" si="13"/>
        <v>0</v>
      </c>
      <c r="H47" s="15">
        <f t="shared" si="13"/>
        <v>0</v>
      </c>
      <c r="I47" s="15">
        <f t="shared" si="13"/>
        <v>0</v>
      </c>
      <c r="J47" s="15">
        <f t="shared" si="13"/>
        <v>0</v>
      </c>
      <c r="K47" s="15">
        <f t="shared" si="13"/>
        <v>0</v>
      </c>
      <c r="L47" s="15">
        <f t="shared" si="13"/>
        <v>0</v>
      </c>
      <c r="M47" s="15">
        <f t="shared" si="13"/>
        <v>0</v>
      </c>
      <c r="N47" s="15">
        <f t="shared" si="13"/>
        <v>0</v>
      </c>
      <c r="O47" s="15">
        <f t="shared" si="13"/>
        <v>0</v>
      </c>
      <c r="P47" s="15">
        <f t="shared" si="13"/>
        <v>0</v>
      </c>
      <c r="Q47" s="15">
        <f t="shared" si="13"/>
        <v>0</v>
      </c>
      <c r="R47" s="15">
        <f t="shared" si="13"/>
        <v>0</v>
      </c>
      <c r="S47" s="15">
        <f t="shared" si="13"/>
        <v>0</v>
      </c>
      <c r="T47" s="15">
        <f t="shared" si="13"/>
        <v>0</v>
      </c>
      <c r="U47" s="15">
        <f t="shared" si="13"/>
        <v>0</v>
      </c>
      <c r="V47" s="15">
        <f t="shared" ref="V47:X47" si="14">IF($C$46="Inactif",0,IF(V13="Rocta",V46*0.06%+V46*0.06%*$M$4,IF(V13="Humains",V46*0.06%+V46*0.06%*$M$2+V46*0.06%*V35*0.5%,IF(V13="Méca",V46*0.06%+V46*0.06%*$M$3+V46*0.06%*V36*0.3%+V46*0.06%*V37*0.4%,V46*0.06%+V46*0.06%*$M$5+V46*0.06%*V38*0.25%))))</f>
        <v>0</v>
      </c>
      <c r="W47" s="15">
        <f t="shared" si="14"/>
        <v>0</v>
      </c>
      <c r="X47" s="15">
        <f t="shared" si="14"/>
        <v>0</v>
      </c>
      <c r="Y47" s="15">
        <f>SUM(E47:X47)</f>
        <v>1.1519999999999999E-2</v>
      </c>
    </row>
    <row r="48" spans="2:25" ht="15" customHeight="1" x14ac:dyDescent="0.3">
      <c r="B48" s="31" t="s">
        <v>186</v>
      </c>
      <c r="C48" s="9" t="s">
        <v>135</v>
      </c>
      <c r="D48" s="7" t="s">
        <v>50</v>
      </c>
      <c r="E48" s="9">
        <v>13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3">
        <f t="shared" si="10"/>
        <v>13</v>
      </c>
    </row>
    <row r="49" spans="2:25" ht="15" customHeight="1" outlineLevel="1" x14ac:dyDescent="0.3">
      <c r="B49" s="34" t="s">
        <v>186</v>
      </c>
      <c r="C49" s="13"/>
      <c r="D49" s="14" t="s">
        <v>45</v>
      </c>
      <c r="E49" s="15">
        <f>IF($C$48="Inactif",0,IF(E13="Rocta",E48*0.06%+E48*0.06%*$M$4,IF(E13="Humains",E48*0.06%+E48*0.06%*$M$2+E48*0.06%*E35*0.5%,IF(E13="Méca",E48*0.06%+E48*0.06%*$M$3+E48*0.06%*E36*0.3%+E48*0.06%*E37*0.4%,E48*0.06%+E48*0.06%*$M$5+E48*0.06%*E38*0.25%))))</f>
        <v>9.3600000000000003E-3</v>
      </c>
      <c r="F49" s="15">
        <f t="shared" ref="F49:U49" si="15">IF($C$48="Inactif",0,IF(F13="Rocta",F48*0.06%+F48*0.06%*$M$4,IF(F13="Humains",F48*0.06%+F48*0.06%*$M$2+F48*0.06%*F35*0.5%,IF(F13="Méca",F48*0.06%+F48*0.06%*$M$3+F48*0.06%*F36*0.3%+F48*0.06%*F37*0.4%,F48*0.06%+F48*0.06%*$M$5+F48*0.06%*F38*0.25%))))</f>
        <v>0</v>
      </c>
      <c r="G49" s="15">
        <f t="shared" si="15"/>
        <v>0</v>
      </c>
      <c r="H49" s="15">
        <f t="shared" si="15"/>
        <v>0</v>
      </c>
      <c r="I49" s="15">
        <f t="shared" si="15"/>
        <v>0</v>
      </c>
      <c r="J49" s="15">
        <f t="shared" si="15"/>
        <v>0</v>
      </c>
      <c r="K49" s="15">
        <f t="shared" si="15"/>
        <v>0</v>
      </c>
      <c r="L49" s="15">
        <f t="shared" si="15"/>
        <v>0</v>
      </c>
      <c r="M49" s="15">
        <f t="shared" si="15"/>
        <v>0</v>
      </c>
      <c r="N49" s="15">
        <f t="shared" si="15"/>
        <v>0</v>
      </c>
      <c r="O49" s="15">
        <f t="shared" si="15"/>
        <v>0</v>
      </c>
      <c r="P49" s="15">
        <f t="shared" si="15"/>
        <v>0</v>
      </c>
      <c r="Q49" s="15">
        <f t="shared" si="15"/>
        <v>0</v>
      </c>
      <c r="R49" s="15">
        <f t="shared" si="15"/>
        <v>0</v>
      </c>
      <c r="S49" s="15">
        <f t="shared" si="15"/>
        <v>0</v>
      </c>
      <c r="T49" s="15">
        <f t="shared" si="15"/>
        <v>0</v>
      </c>
      <c r="U49" s="15">
        <f t="shared" si="15"/>
        <v>0</v>
      </c>
      <c r="V49" s="15">
        <f t="shared" ref="V49:X49" si="16">IF($C$48="Inactif",0,IF(V13="Rocta",V48*0.06%+V48*0.06%*$M$4,IF(V13="Humains",V48*0.06%+V48*0.06%*$M$2+V48*0.06%*V35*0.5%,IF(V13="Méca",V48*0.06%+V48*0.06%*$M$3+V48*0.06%*V36*0.3%+V48*0.06%*V37*0.4%,V48*0.06%+V48*0.06%*$M$5+V48*0.06%*V38*0.25%))))</f>
        <v>0</v>
      </c>
      <c r="W49" s="15">
        <f t="shared" si="16"/>
        <v>0</v>
      </c>
      <c r="X49" s="15">
        <f t="shared" si="16"/>
        <v>0</v>
      </c>
      <c r="Y49" s="15">
        <f>SUM(E49:X49)</f>
        <v>9.3600000000000003E-3</v>
      </c>
    </row>
    <row r="50" spans="2:25" ht="15" customHeight="1" x14ac:dyDescent="0.3">
      <c r="B50" s="31" t="s">
        <v>186</v>
      </c>
      <c r="C50" s="9" t="s">
        <v>136</v>
      </c>
      <c r="D50" s="7" t="s">
        <v>51</v>
      </c>
      <c r="E50" s="9">
        <v>14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3">
        <f t="shared" si="10"/>
        <v>14</v>
      </c>
    </row>
    <row r="51" spans="2:25" ht="15" customHeight="1" outlineLevel="1" x14ac:dyDescent="0.3">
      <c r="B51" s="34" t="s">
        <v>186</v>
      </c>
      <c r="C51" s="13"/>
      <c r="D51" s="14" t="s">
        <v>137</v>
      </c>
      <c r="E51" s="15">
        <f>IF($C$50="Inactif",0,IF(E13="Rocta",E50*0.08%+E50*0.08%*$M$4,IF(E13="Humains",E50*0.08%+E50*0.08%*$M$2+E50*0.08%*E35*0.5%,IF(E13="Méca",E50*0.08%+E50*0.08%*$M$3+E50*0.08%*E36*0.3%+E50*0.08%*E37*0.4%,E50*0.08%+E50*0.08%*$M$5+E50*0.08%*E38*0.25%))))</f>
        <v>0</v>
      </c>
      <c r="F51" s="15">
        <f t="shared" ref="F51:U51" si="17">IF($C$50="Inactif",0,IF(F13="Rocta",F50*0.08%+F50*0.08%*$M$4,IF(F13="Humains",F50*0.08%+F50*0.08%*$M$2+F50*0.08%*F35*0.5%,IF(F13="Méca",F50*0.08%+F50*0.08%*$M$3+F50*0.08%*F36*0.3%+F50*0.08%*F37*0.4%,F50*0.08%+F50*0.08%*$M$5+F50*0.08%*F38*0.25%))))</f>
        <v>0</v>
      </c>
      <c r="G51" s="15">
        <f t="shared" si="17"/>
        <v>0</v>
      </c>
      <c r="H51" s="15">
        <f t="shared" si="17"/>
        <v>0</v>
      </c>
      <c r="I51" s="15">
        <f t="shared" si="17"/>
        <v>0</v>
      </c>
      <c r="J51" s="15">
        <f t="shared" si="17"/>
        <v>0</v>
      </c>
      <c r="K51" s="15">
        <f t="shared" si="17"/>
        <v>0</v>
      </c>
      <c r="L51" s="15">
        <f t="shared" si="17"/>
        <v>0</v>
      </c>
      <c r="M51" s="15">
        <f t="shared" si="17"/>
        <v>0</v>
      </c>
      <c r="N51" s="15">
        <f t="shared" si="17"/>
        <v>0</v>
      </c>
      <c r="O51" s="15">
        <f t="shared" si="17"/>
        <v>0</v>
      </c>
      <c r="P51" s="15">
        <f t="shared" si="17"/>
        <v>0</v>
      </c>
      <c r="Q51" s="15">
        <f t="shared" si="17"/>
        <v>0</v>
      </c>
      <c r="R51" s="15">
        <f t="shared" si="17"/>
        <v>0</v>
      </c>
      <c r="S51" s="15">
        <f t="shared" si="17"/>
        <v>0</v>
      </c>
      <c r="T51" s="15">
        <f t="shared" si="17"/>
        <v>0</v>
      </c>
      <c r="U51" s="15">
        <f t="shared" si="17"/>
        <v>0</v>
      </c>
      <c r="V51" s="15">
        <f t="shared" ref="V51:X51" si="18">IF($C$50="Inactif",0,IF(V13="Rocta",V50*0.08%+V50*0.08%*$M$4,IF(V13="Humains",V50*0.08%+V50*0.08%*$M$2+V50*0.08%*V35*0.5%,IF(V13="Méca",V50*0.08%+V50*0.08%*$M$3+V50*0.08%*V36*0.3%+V50*0.08%*V37*0.4%,V50*0.08%+V50*0.08%*$M$5+V50*0.08%*V38*0.25%))))</f>
        <v>0</v>
      </c>
      <c r="W51" s="15">
        <f t="shared" si="18"/>
        <v>0</v>
      </c>
      <c r="X51" s="15">
        <f t="shared" si="18"/>
        <v>0</v>
      </c>
      <c r="Y51" s="15">
        <f>SUM(E51:X51)</f>
        <v>0</v>
      </c>
    </row>
    <row r="52" spans="2:25" ht="15" customHeight="1" x14ac:dyDescent="0.3">
      <c r="B52" s="31" t="s">
        <v>186</v>
      </c>
      <c r="C52" s="9" t="s">
        <v>135</v>
      </c>
      <c r="D52" s="7" t="s">
        <v>52</v>
      </c>
      <c r="E52" s="9">
        <v>19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3">
        <f t="shared" si="10"/>
        <v>19</v>
      </c>
    </row>
    <row r="53" spans="2:25" ht="15" customHeight="1" outlineLevel="1" x14ac:dyDescent="0.3">
      <c r="B53" s="34" t="s">
        <v>186</v>
      </c>
      <c r="C53" s="13"/>
      <c r="D53" s="14" t="s">
        <v>48</v>
      </c>
      <c r="E53" s="15">
        <f>IF($C$52="Inactif",0,IF(E13="Rocta",E52*0.08%+E52*0.08%*$M$4,IF(E13="Humains",E52*0.08%+E52*0.08%*$M$2+E52*0.08%*E35*0.5%,IF(E13="Méca",E52*0.08%+E52*0.08%*$M$3+E52*0.08%*E36*0.3%+E52*0.08%*E37*0.4%,E52*0.08%+E52*0.08%*$M$5+E52*0.08%*E38*0.25%))))</f>
        <v>1.8239999999999999E-2</v>
      </c>
      <c r="F53" s="15">
        <f t="shared" ref="F53:U53" si="19">IF($C$52="Inactif",0,IF(F13="Rocta",F52*0.08%+F52*0.08%*$M$4,IF(F13="Humains",F52*0.08%+F52*0.08%*$M$2+F52*0.08%*F35*0.5%,IF(F13="Méca",F52*0.08%+F52*0.08%*$M$3+F52*0.08%*F36*0.3%+F52*0.08%*F37*0.4%,F52*0.08%+F52*0.08%*$M$5+F52*0.08%*F38*0.25%))))</f>
        <v>0</v>
      </c>
      <c r="G53" s="15">
        <f t="shared" si="19"/>
        <v>0</v>
      </c>
      <c r="H53" s="15">
        <f t="shared" si="19"/>
        <v>0</v>
      </c>
      <c r="I53" s="15">
        <f t="shared" si="19"/>
        <v>0</v>
      </c>
      <c r="J53" s="15">
        <f t="shared" si="19"/>
        <v>0</v>
      </c>
      <c r="K53" s="15">
        <f t="shared" si="19"/>
        <v>0</v>
      </c>
      <c r="L53" s="15">
        <f t="shared" si="19"/>
        <v>0</v>
      </c>
      <c r="M53" s="15">
        <f t="shared" si="19"/>
        <v>0</v>
      </c>
      <c r="N53" s="15">
        <f t="shared" si="19"/>
        <v>0</v>
      </c>
      <c r="O53" s="15">
        <f t="shared" si="19"/>
        <v>0</v>
      </c>
      <c r="P53" s="15">
        <f t="shared" si="19"/>
        <v>0</v>
      </c>
      <c r="Q53" s="15">
        <f t="shared" si="19"/>
        <v>0</v>
      </c>
      <c r="R53" s="15">
        <f t="shared" si="19"/>
        <v>0</v>
      </c>
      <c r="S53" s="15">
        <f t="shared" si="19"/>
        <v>0</v>
      </c>
      <c r="T53" s="15">
        <f t="shared" si="19"/>
        <v>0</v>
      </c>
      <c r="U53" s="15">
        <f t="shared" si="19"/>
        <v>0</v>
      </c>
      <c r="V53" s="15">
        <f t="shared" ref="V53:X53" si="20">IF($C$52="Inactif",0,IF(V13="Rocta",V52*0.08%+V52*0.08%*$M$4,IF(V13="Humains",V52*0.08%+V52*0.08%*$M$2+V52*0.08%*V35*0.5%,IF(V13="Méca",V52*0.08%+V52*0.08%*$M$3+V52*0.08%*V36*0.3%+V52*0.08%*V37*0.4%,V52*0.08%+V52*0.08%*$M$5+V52*0.08%*V38*0.25%))))</f>
        <v>0</v>
      </c>
      <c r="W53" s="15">
        <f t="shared" si="20"/>
        <v>0</v>
      </c>
      <c r="X53" s="15">
        <f t="shared" si="20"/>
        <v>0</v>
      </c>
      <c r="Y53" s="15">
        <f>SUM(E53:X53)</f>
        <v>1.8239999999999999E-2</v>
      </c>
    </row>
    <row r="54" spans="2:25" ht="15" customHeight="1" x14ac:dyDescent="0.3">
      <c r="B54" s="31" t="s">
        <v>186</v>
      </c>
      <c r="C54" s="9" t="s">
        <v>136</v>
      </c>
      <c r="D54" s="7" t="s">
        <v>53</v>
      </c>
      <c r="E54" s="9">
        <v>12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3">
        <f t="shared" si="10"/>
        <v>12</v>
      </c>
    </row>
    <row r="55" spans="2:25" ht="15" customHeight="1" outlineLevel="1" x14ac:dyDescent="0.3">
      <c r="B55" s="34" t="s">
        <v>186</v>
      </c>
      <c r="C55" s="13"/>
      <c r="D55" s="14" t="s">
        <v>45</v>
      </c>
      <c r="E55" s="15">
        <f>IF($C$54="Inactif",0,IF(E13="Rocta",E54*0.06%+E54*0.06%*$M$4,IF(E13="Humains",E54*0.06%+E54*0.06%*$M$2+E54*0.06%*E35*0.5%,IF(E13="Méca",E54*0.06%+E54*0.06%*$M$3+E54*0.06%*E36*0.3%+E54*0.06%*E37*0.4%,E54*0.06%+E54*0.06%*$M$5+E54*0.06%*E38*0.25%))))</f>
        <v>0</v>
      </c>
      <c r="F55" s="15">
        <f t="shared" ref="F55:U55" si="21">IF($C$54="Inactif",0,IF(F13="Rocta",F54*0.06%+F54*0.06%*$M$4,IF(F13="Humains",F54*0.06%+F54*0.06%*$M$2+F54*0.06%*F35*0.5%,IF(F13="Méca",F54*0.06%+F54*0.06%*$M$3+F54*0.06%*F36*0.3%+F54*0.06%*F37*0.4%,F54*0.06%+F54*0.06%*$M$5+F54*0.06%*F38*0.25%))))</f>
        <v>0</v>
      </c>
      <c r="G55" s="15">
        <f t="shared" si="21"/>
        <v>0</v>
      </c>
      <c r="H55" s="15">
        <f t="shared" si="21"/>
        <v>0</v>
      </c>
      <c r="I55" s="15">
        <f t="shared" si="21"/>
        <v>0</v>
      </c>
      <c r="J55" s="15">
        <f t="shared" si="21"/>
        <v>0</v>
      </c>
      <c r="K55" s="15">
        <f t="shared" si="21"/>
        <v>0</v>
      </c>
      <c r="L55" s="15">
        <f t="shared" si="21"/>
        <v>0</v>
      </c>
      <c r="M55" s="15">
        <f t="shared" si="21"/>
        <v>0</v>
      </c>
      <c r="N55" s="15">
        <f t="shared" si="21"/>
        <v>0</v>
      </c>
      <c r="O55" s="15">
        <f t="shared" si="21"/>
        <v>0</v>
      </c>
      <c r="P55" s="15">
        <f t="shared" si="21"/>
        <v>0</v>
      </c>
      <c r="Q55" s="15">
        <f t="shared" si="21"/>
        <v>0</v>
      </c>
      <c r="R55" s="15">
        <f t="shared" si="21"/>
        <v>0</v>
      </c>
      <c r="S55" s="15">
        <f t="shared" si="21"/>
        <v>0</v>
      </c>
      <c r="T55" s="15">
        <f t="shared" si="21"/>
        <v>0</v>
      </c>
      <c r="U55" s="15">
        <f t="shared" si="21"/>
        <v>0</v>
      </c>
      <c r="V55" s="15">
        <f t="shared" ref="V55:X55" si="22">IF($C$54="Inactif",0,IF(V13="Rocta",V54*0.06%+V54*0.06%*$M$4,IF(V13="Humains",V54*0.06%+V54*0.06%*$M$2+V54*0.06%*V35*0.5%,IF(V13="Méca",V54*0.06%+V54*0.06%*$M$3+V54*0.06%*V36*0.3%+V54*0.06%*V37*0.4%,V54*0.06%+V54*0.06%*$M$5+V54*0.06%*V38*0.25%))))</f>
        <v>0</v>
      </c>
      <c r="W55" s="15">
        <f t="shared" si="22"/>
        <v>0</v>
      </c>
      <c r="X55" s="15">
        <f t="shared" si="22"/>
        <v>0</v>
      </c>
      <c r="Y55" s="15">
        <f>SUM(E55:X55)</f>
        <v>0</v>
      </c>
    </row>
    <row r="56" spans="2:25" ht="15" customHeight="1" x14ac:dyDescent="0.3">
      <c r="B56" s="31" t="s">
        <v>186</v>
      </c>
      <c r="C56" s="9" t="s">
        <v>135</v>
      </c>
      <c r="D56" s="7" t="s">
        <v>54</v>
      </c>
      <c r="E56" s="9">
        <v>16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3">
        <f t="shared" si="10"/>
        <v>16</v>
      </c>
    </row>
    <row r="57" spans="2:25" ht="15" customHeight="1" outlineLevel="1" x14ac:dyDescent="0.3">
      <c r="B57" s="34" t="s">
        <v>186</v>
      </c>
      <c r="C57" s="13"/>
      <c r="D57" s="14" t="s">
        <v>55</v>
      </c>
      <c r="E57" s="15">
        <f>IF($C$56="Inactif",0,IF(E13="Rocta",E56*0.08%+E56*0.08%*$M$4,IF(E13="Humains",E56*0.08%+E56*0.08%*$M$2+E56*0.08%*E35*0.5%,IF(E13="Méca",E56*0.08%+E56*0.08%*$M$3+E56*0.08%*E36*0.3%+E56*0.08%*E37*0.4%,E56*0.08%+E56*0.08%*$M$5+E56*0.08%*E38*0.25%))))</f>
        <v>1.5360000000000002E-2</v>
      </c>
      <c r="F57" s="15">
        <f t="shared" ref="F57:U57" si="23">IF($C$56="Inactif",0,IF(F13="Rocta",F56*0.08%+F56*0.08%*$M$4,IF(F13="Humains",F56*0.08%+F56*0.08%*$M$2+F56*0.08%*F35*0.5%,IF(F13="Méca",F56*0.08%+F56*0.08%*$M$3+F56*0.08%*F36*0.3%+F56*0.08%*F37*0.4%,F56*0.08%+F56*0.08%*$M$5+F56*0.08%*F38*0.25%))))</f>
        <v>0</v>
      </c>
      <c r="G57" s="15">
        <f t="shared" si="23"/>
        <v>0</v>
      </c>
      <c r="H57" s="15">
        <f t="shared" si="23"/>
        <v>0</v>
      </c>
      <c r="I57" s="15">
        <f t="shared" si="23"/>
        <v>0</v>
      </c>
      <c r="J57" s="15">
        <f t="shared" si="23"/>
        <v>0</v>
      </c>
      <c r="K57" s="15">
        <f t="shared" si="23"/>
        <v>0</v>
      </c>
      <c r="L57" s="15">
        <f t="shared" si="23"/>
        <v>0</v>
      </c>
      <c r="M57" s="15">
        <f t="shared" si="23"/>
        <v>0</v>
      </c>
      <c r="N57" s="15">
        <f t="shared" si="23"/>
        <v>0</v>
      </c>
      <c r="O57" s="15">
        <f t="shared" si="23"/>
        <v>0</v>
      </c>
      <c r="P57" s="15">
        <f t="shared" si="23"/>
        <v>0</v>
      </c>
      <c r="Q57" s="15">
        <f t="shared" si="23"/>
        <v>0</v>
      </c>
      <c r="R57" s="15">
        <f t="shared" si="23"/>
        <v>0</v>
      </c>
      <c r="S57" s="15">
        <f t="shared" si="23"/>
        <v>0</v>
      </c>
      <c r="T57" s="15">
        <f t="shared" si="23"/>
        <v>0</v>
      </c>
      <c r="U57" s="15">
        <f t="shared" si="23"/>
        <v>0</v>
      </c>
      <c r="V57" s="15">
        <f t="shared" ref="V57:X57" si="24">IF($C$56="Inactif",0,IF(V13="Rocta",V56*0.08%+V56*0.08%*$M$4,IF(V13="Humains",V56*0.08%+V56*0.08%*$M$2+V56*0.08%*V35*0.5%,IF(V13="Méca",V56*0.08%+V56*0.08%*$M$3+V56*0.08%*V36*0.3%+V56*0.08%*V37*0.4%,V56*0.08%+V56*0.08%*$M$5+V56*0.08%*V38*0.25%))))</f>
        <v>0</v>
      </c>
      <c r="W57" s="15">
        <f t="shared" si="24"/>
        <v>0</v>
      </c>
      <c r="X57" s="15">
        <f t="shared" si="24"/>
        <v>0</v>
      </c>
      <c r="Y57" s="15">
        <f>SUM(E57:X57)</f>
        <v>1.5360000000000002E-2</v>
      </c>
    </row>
    <row r="58" spans="2:25" ht="15" customHeight="1" x14ac:dyDescent="0.3">
      <c r="B58" s="31" t="s">
        <v>186</v>
      </c>
      <c r="C58" s="9" t="s">
        <v>135</v>
      </c>
      <c r="D58" s="7" t="s">
        <v>56</v>
      </c>
      <c r="E58" s="9">
        <v>15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3">
        <f>SUM(E58:X58)</f>
        <v>15</v>
      </c>
    </row>
    <row r="59" spans="2:25" ht="15" customHeight="1" outlineLevel="1" x14ac:dyDescent="0.3">
      <c r="B59" s="34" t="s">
        <v>186</v>
      </c>
      <c r="C59" s="13"/>
      <c r="D59" s="14" t="s">
        <v>55</v>
      </c>
      <c r="E59" s="15">
        <f>IF($C$58="Inactif",0,IF(E13="Rocta",E58*0.08%+E58*0.08%*$M$4,IF(E13="Humains",E58*0.08%+E58*0.08%*$M$2+E58*0.08%*E35*0.5%,IF(E13="Méca",E58*0.08%+E58*0.08%*$M$3+E58*0.08%*E36*0.3%+E58*0.08%*E37*0.4%,E58*0.08%+E58*0.08%*$M$5+E58*0.08%*E38*0.25%))))</f>
        <v>1.44E-2</v>
      </c>
      <c r="F59" s="15">
        <f t="shared" ref="F59:U59" si="25">IF($C$58="Inactif",0,IF(F13="Rocta",F58*0.08%+F58*0.08%*$M$4,IF(F13="Humains",F58*0.08%+F58*0.08%*$M$2+F58*0.08%*F35*0.5%,IF(F13="Méca",F58*0.08%+F58*0.08%*$M$3+F58*0.08%*F36*0.3%+F58*0.08%*F37*0.4%,F58*0.08%+F58*0.08%*$M$5+F58*0.08%*F38*0.25%))))</f>
        <v>0</v>
      </c>
      <c r="G59" s="15">
        <f t="shared" si="25"/>
        <v>0</v>
      </c>
      <c r="H59" s="15">
        <f t="shared" si="25"/>
        <v>0</v>
      </c>
      <c r="I59" s="15">
        <f t="shared" si="25"/>
        <v>0</v>
      </c>
      <c r="J59" s="15">
        <f t="shared" si="25"/>
        <v>0</v>
      </c>
      <c r="K59" s="15">
        <f t="shared" si="25"/>
        <v>0</v>
      </c>
      <c r="L59" s="15">
        <f t="shared" si="25"/>
        <v>0</v>
      </c>
      <c r="M59" s="15">
        <f t="shared" si="25"/>
        <v>0</v>
      </c>
      <c r="N59" s="15">
        <f t="shared" si="25"/>
        <v>0</v>
      </c>
      <c r="O59" s="15">
        <f t="shared" si="25"/>
        <v>0</v>
      </c>
      <c r="P59" s="15">
        <f t="shared" si="25"/>
        <v>0</v>
      </c>
      <c r="Q59" s="15">
        <f t="shared" si="25"/>
        <v>0</v>
      </c>
      <c r="R59" s="15">
        <f t="shared" si="25"/>
        <v>0</v>
      </c>
      <c r="S59" s="15">
        <f t="shared" si="25"/>
        <v>0</v>
      </c>
      <c r="T59" s="15">
        <f t="shared" si="25"/>
        <v>0</v>
      </c>
      <c r="U59" s="15">
        <f t="shared" si="25"/>
        <v>0</v>
      </c>
      <c r="V59" s="15">
        <f t="shared" ref="V59:X59" si="26">IF($C$58="Inactif",0,IF(V13="Rocta",V58*0.08%+V58*0.08%*$M$4,IF(V13="Humains",V58*0.08%+V58*0.08%*$M$2+V58*0.08%*V35*0.5%,IF(V13="Méca",V58*0.08%+V58*0.08%*$M$3+V58*0.08%*V36*0.3%+V58*0.08%*V37*0.4%,V58*0.08%+V58*0.08%*$M$5+V58*0.08%*V38*0.25%))))</f>
        <v>0</v>
      </c>
      <c r="W59" s="15">
        <f t="shared" si="26"/>
        <v>0</v>
      </c>
      <c r="X59" s="15">
        <f t="shared" si="26"/>
        <v>0</v>
      </c>
      <c r="Y59" s="15">
        <f>SUM(E59:X59)</f>
        <v>1.44E-2</v>
      </c>
    </row>
    <row r="60" spans="2:25" ht="15" customHeight="1" x14ac:dyDescent="0.3">
      <c r="B60" s="31" t="s">
        <v>186</v>
      </c>
      <c r="C60" s="9" t="s">
        <v>136</v>
      </c>
      <c r="D60" s="7" t="s">
        <v>57</v>
      </c>
      <c r="E60" s="9">
        <v>11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3">
        <f>SUM(E60:X60)</f>
        <v>11</v>
      </c>
    </row>
    <row r="61" spans="2:25" ht="15" customHeight="1" outlineLevel="1" x14ac:dyDescent="0.3">
      <c r="B61" s="34" t="s">
        <v>186</v>
      </c>
      <c r="C61" s="13"/>
      <c r="D61" s="14" t="s">
        <v>137</v>
      </c>
      <c r="E61" s="15">
        <f>IF($C$60="Inactif",0,IF(E13="Rocta",E60*0.08%+E60*0.08%*$M$4,IF(E13="Humains",E60*0.08%+E60*0.08%*$M$2+E60*0.08%*E35*0.5%,IF(E13="Méca",E60*0.08%+E60*0.08%*$M$3+E60*0.08%*E36*0.3%+E60*0.08%*E37*0.4%,E60*0.08%+E60*0.08%*$M$5+E60*0.08%*E38*0.25%))))</f>
        <v>0</v>
      </c>
      <c r="F61" s="15">
        <f t="shared" ref="F61:U61" si="27">IF($C$60="Inactif",0,IF(F13="Rocta",F60*0.08%+F60*0.08%*$M$4,IF(F13="Humains",F60*0.08%+F60*0.08%*$M$2+F60*0.08%*F35*0.5%,IF(F13="Méca",F60*0.08%+F60*0.08%*$M$3+F60*0.08%*F36*0.3%+F60*0.08%*F37*0.4%,F60*0.08%+F60*0.08%*$M$5+F60*0.08%*F38*0.25%))))</f>
        <v>0</v>
      </c>
      <c r="G61" s="15">
        <f t="shared" si="27"/>
        <v>0</v>
      </c>
      <c r="H61" s="15">
        <f t="shared" si="27"/>
        <v>0</v>
      </c>
      <c r="I61" s="15">
        <f t="shared" si="27"/>
        <v>0</v>
      </c>
      <c r="J61" s="15">
        <f t="shared" si="27"/>
        <v>0</v>
      </c>
      <c r="K61" s="15">
        <f t="shared" si="27"/>
        <v>0</v>
      </c>
      <c r="L61" s="15">
        <f t="shared" si="27"/>
        <v>0</v>
      </c>
      <c r="M61" s="15">
        <f t="shared" si="27"/>
        <v>0</v>
      </c>
      <c r="N61" s="15">
        <f t="shared" si="27"/>
        <v>0</v>
      </c>
      <c r="O61" s="15">
        <f t="shared" si="27"/>
        <v>0</v>
      </c>
      <c r="P61" s="15">
        <f t="shared" si="27"/>
        <v>0</v>
      </c>
      <c r="Q61" s="15">
        <f t="shared" si="27"/>
        <v>0</v>
      </c>
      <c r="R61" s="15">
        <f t="shared" si="27"/>
        <v>0</v>
      </c>
      <c r="S61" s="15">
        <f t="shared" si="27"/>
        <v>0</v>
      </c>
      <c r="T61" s="15">
        <f t="shared" si="27"/>
        <v>0</v>
      </c>
      <c r="U61" s="15">
        <f t="shared" si="27"/>
        <v>0</v>
      </c>
      <c r="V61" s="15">
        <f t="shared" ref="V61:X61" si="28">IF($C$60="Inactif",0,IF(V13="Rocta",V60*0.08%+V60*0.08%*$M$4,IF(V13="Humains",V60*0.08%+V60*0.08%*$M$2+V60*0.08%*V35*0.5%,IF(V13="Méca",V60*0.08%+V60*0.08%*$M$3+V60*0.08%*V36*0.3%+V60*0.08%*V37*0.4%,V60*0.08%+V60*0.08%*$M$5+V60*0.08%*V38*0.25%))))</f>
        <v>0</v>
      </c>
      <c r="W61" s="15">
        <f t="shared" si="28"/>
        <v>0</v>
      </c>
      <c r="X61" s="15">
        <f t="shared" si="28"/>
        <v>0</v>
      </c>
      <c r="Y61" s="15">
        <f>SUM(E61:X61)</f>
        <v>0</v>
      </c>
    </row>
    <row r="62" spans="2:25" ht="15" customHeight="1" x14ac:dyDescent="0.3">
      <c r="B62" s="31" t="s">
        <v>186</v>
      </c>
      <c r="C62" s="9" t="s">
        <v>136</v>
      </c>
      <c r="D62" s="7" t="s">
        <v>58</v>
      </c>
      <c r="E62" s="9">
        <v>0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3">
        <f t="shared" si="10"/>
        <v>0</v>
      </c>
    </row>
    <row r="63" spans="2:25" ht="15" customHeight="1" outlineLevel="1" x14ac:dyDescent="0.3">
      <c r="B63" s="34" t="s">
        <v>186</v>
      </c>
      <c r="C63" s="13"/>
      <c r="D63" s="14" t="s">
        <v>48</v>
      </c>
      <c r="E63" s="15">
        <f>IF($C$62="Inactif",0,IF(E13="Rocta",E62*0.08%+E62*0.08%*$M$4,IF(E13="Humains",E62*0.08%+E62*0.08%*$M$2+E62*0.08%*E35*0.5%,IF(E13="Méca",E62*0.08%+E62*0.08%*$M$3+E62*0.08%*E36*0.3%+E62*0.08%*E37*0.4%,E62*0.08%+E62*0.08%*$M$5+E62*0.08%*E38*0.25%))))</f>
        <v>0</v>
      </c>
      <c r="F63" s="15">
        <f t="shared" ref="F63:U63" si="29">IF($C$62="Inactif",0,IF(F13="Rocta",F62*0.08%+F62*0.08%*$M$4,IF(F13="Humains",F62*0.08%+F62*0.08%*$M$2+F62*0.08%*F35*0.5%,IF(F13="Méca",F62*0.08%+F62*0.08%*$M$3+F62*0.08%*F36*0.3%+F62*0.08%*F37*0.4%,F62*0.08%+F62*0.08%*$M$5+F62*0.08%*F38*0.25%))))</f>
        <v>0</v>
      </c>
      <c r="G63" s="15">
        <f t="shared" si="29"/>
        <v>0</v>
      </c>
      <c r="H63" s="15">
        <f t="shared" si="29"/>
        <v>0</v>
      </c>
      <c r="I63" s="15">
        <f t="shared" si="29"/>
        <v>0</v>
      </c>
      <c r="J63" s="15">
        <f t="shared" si="29"/>
        <v>0</v>
      </c>
      <c r="K63" s="15">
        <f t="shared" si="29"/>
        <v>0</v>
      </c>
      <c r="L63" s="15">
        <f t="shared" si="29"/>
        <v>0</v>
      </c>
      <c r="M63" s="15">
        <f t="shared" si="29"/>
        <v>0</v>
      </c>
      <c r="N63" s="15">
        <f t="shared" si="29"/>
        <v>0</v>
      </c>
      <c r="O63" s="15">
        <f t="shared" si="29"/>
        <v>0</v>
      </c>
      <c r="P63" s="15">
        <f t="shared" si="29"/>
        <v>0</v>
      </c>
      <c r="Q63" s="15">
        <f t="shared" si="29"/>
        <v>0</v>
      </c>
      <c r="R63" s="15">
        <f t="shared" si="29"/>
        <v>0</v>
      </c>
      <c r="S63" s="15">
        <f t="shared" si="29"/>
        <v>0</v>
      </c>
      <c r="T63" s="15">
        <f t="shared" si="29"/>
        <v>0</v>
      </c>
      <c r="U63" s="15">
        <f t="shared" si="29"/>
        <v>0</v>
      </c>
      <c r="V63" s="15">
        <f t="shared" ref="V63:X63" si="30">IF($C$62="Inactif",0,IF(V13="Rocta",V62*0.08%+V62*0.08%*$M$4,IF(V13="Humains",V62*0.08%+V62*0.08%*$M$2+V62*0.08%*V35*0.5%,IF(V13="Méca",V62*0.08%+V62*0.08%*$M$3+V62*0.08%*V36*0.3%+V62*0.08%*V37*0.4%,V62*0.08%+V62*0.08%*$M$5+V62*0.08%*V38*0.25%))))</f>
        <v>0</v>
      </c>
      <c r="W63" s="15">
        <f t="shared" si="30"/>
        <v>0</v>
      </c>
      <c r="X63" s="15">
        <f t="shared" si="30"/>
        <v>0</v>
      </c>
      <c r="Y63" s="15">
        <f>SUM(E63:X63)</f>
        <v>0</v>
      </c>
    </row>
    <row r="64" spans="2:25" ht="15" customHeight="1" x14ac:dyDescent="0.3">
      <c r="B64" s="31" t="s">
        <v>186</v>
      </c>
      <c r="C64" s="9" t="s">
        <v>135</v>
      </c>
      <c r="D64" s="7" t="s">
        <v>59</v>
      </c>
      <c r="E64" s="9">
        <v>0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3">
        <f t="shared" si="10"/>
        <v>0</v>
      </c>
    </row>
    <row r="65" spans="2:26" ht="15" customHeight="1" outlineLevel="1" x14ac:dyDescent="0.3">
      <c r="B65" s="34" t="s">
        <v>186</v>
      </c>
      <c r="C65" s="13"/>
      <c r="D65" s="14" t="s">
        <v>2</v>
      </c>
      <c r="E65" s="15">
        <f>IF($C$64="Inactif",0,IF(E15="Rocta",E64*0.2%+E64*0.2%*$M$4,IF(E15="Humains",E64*0.2%+E64*0.2%*$M$2+E64*0.2%*E35*0.5%,IF(E15="Méca",E64*0.2%+E64*0.2%*$M$3+E64*0.2%*E36*0.3%+E64*0.2%*E37*0.4%,E64*0.2%+E64*0.2%*$M$5+E64*0.2%*E38*0.25%))))</f>
        <v>0</v>
      </c>
      <c r="F65" s="15">
        <f t="shared" ref="F65:U65" si="31">IF($C$64="Inactif",0,IF(F15="Rocta",F64*0.2%+F64*0.2%*$M$4,IF(F15="Humains",F64*0.2%+F64*0.2%*$M$2+F64*0.2%*F35*0.5%,IF(F15="Méca",F64*0.2%+F64*0.2%*$M$3+F64*0.2%*F36*0.3%+F64*0.2%*F37*0.4%,F64*0.2%+F64*0.2%*$M$5+F64*0.2%*F38*0.25%))))</f>
        <v>0</v>
      </c>
      <c r="G65" s="15">
        <f t="shared" si="31"/>
        <v>0</v>
      </c>
      <c r="H65" s="15">
        <f t="shared" si="31"/>
        <v>0</v>
      </c>
      <c r="I65" s="15">
        <f t="shared" si="31"/>
        <v>0</v>
      </c>
      <c r="J65" s="15">
        <f t="shared" si="31"/>
        <v>0</v>
      </c>
      <c r="K65" s="15">
        <f t="shared" si="31"/>
        <v>0</v>
      </c>
      <c r="L65" s="15">
        <f t="shared" si="31"/>
        <v>0</v>
      </c>
      <c r="M65" s="15">
        <f t="shared" si="31"/>
        <v>0</v>
      </c>
      <c r="N65" s="15">
        <f t="shared" si="31"/>
        <v>0</v>
      </c>
      <c r="O65" s="15">
        <f t="shared" si="31"/>
        <v>0</v>
      </c>
      <c r="P65" s="15">
        <f t="shared" si="31"/>
        <v>0</v>
      </c>
      <c r="Q65" s="15">
        <f t="shared" si="31"/>
        <v>0</v>
      </c>
      <c r="R65" s="15">
        <f t="shared" si="31"/>
        <v>0</v>
      </c>
      <c r="S65" s="15">
        <f t="shared" si="31"/>
        <v>0</v>
      </c>
      <c r="T65" s="15">
        <f t="shared" si="31"/>
        <v>0</v>
      </c>
      <c r="U65" s="15">
        <f t="shared" si="31"/>
        <v>0</v>
      </c>
      <c r="V65" s="15">
        <f t="shared" ref="V65:X65" si="32">IF($C$64="Inactif",0,IF(V15="Rocta",V64*0.2%+V64*0.2%*$M$4,IF(V15="Humains",V64*0.2%+V64*0.2%*$M$2+V64*0.2%*V35*0.5%,IF(V15="Méca",V64*0.2%+V64*0.2%*$M$3+V64*0.2%*V36*0.3%+V64*0.2%*V37*0.4%,V64*0.2%+V64*0.2%*$M$5+V64*0.2%*V38*0.25%))))</f>
        <v>0</v>
      </c>
      <c r="W65" s="15">
        <f t="shared" si="32"/>
        <v>0</v>
      </c>
      <c r="X65" s="15">
        <f t="shared" si="32"/>
        <v>0</v>
      </c>
      <c r="Y65" s="15">
        <f>SUM(E65:X65)</f>
        <v>0</v>
      </c>
    </row>
    <row r="66" spans="2:26" ht="15" customHeight="1" x14ac:dyDescent="0.3">
      <c r="B66" s="31" t="s">
        <v>186</v>
      </c>
      <c r="C66" s="9" t="s">
        <v>136</v>
      </c>
      <c r="D66" s="7" t="s">
        <v>60</v>
      </c>
      <c r="E66" s="9">
        <v>0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3">
        <f t="shared" si="10"/>
        <v>0</v>
      </c>
    </row>
    <row r="67" spans="2:26" ht="15" customHeight="1" outlineLevel="1" x14ac:dyDescent="0.3">
      <c r="B67" s="34" t="s">
        <v>186</v>
      </c>
      <c r="C67" s="13"/>
      <c r="D67" s="14" t="s">
        <v>48</v>
      </c>
      <c r="E67" s="15">
        <f>IF($C$66="Inactif",0,IF(E13="Rocta",E66*0.08%+E66*0.08%*$M$4,IF(E13="Humains",E66*0.08%+E66*0.08%*$M$2+E66*0.08%*E35*0.5%,IF(E13="Méca",E66*0.08%+E66*0.08%*$M$3+E66*0.08%*E36*0.3%+E66*0.08%*E37*0.4%,E66*0.08%+E66*0.08%*$M$5+E66*0.08%*E38*0.25%))))</f>
        <v>0</v>
      </c>
      <c r="F67" s="15">
        <f t="shared" ref="F67:U67" si="33">IF($C$66="Inactif",0,IF(F13="Rocta",F66*0.08%+F66*0.08%*$M$4,IF(F13="Humains",F66*0.08%+F66*0.08%*$M$2+F66*0.08%*F35*0.5%,IF(F13="Méca",F66*0.08%+F66*0.08%*$M$3+F66*0.08%*F36*0.3%+F66*0.08%*F37*0.4%,F66*0.08%+F66*0.08%*$M$5+F66*0.08%*F38*0.25%))))</f>
        <v>0</v>
      </c>
      <c r="G67" s="15">
        <f t="shared" si="33"/>
        <v>0</v>
      </c>
      <c r="H67" s="15">
        <f t="shared" si="33"/>
        <v>0</v>
      </c>
      <c r="I67" s="15">
        <f t="shared" si="33"/>
        <v>0</v>
      </c>
      <c r="J67" s="15">
        <f t="shared" si="33"/>
        <v>0</v>
      </c>
      <c r="K67" s="15">
        <f t="shared" si="33"/>
        <v>0</v>
      </c>
      <c r="L67" s="15">
        <f t="shared" si="33"/>
        <v>0</v>
      </c>
      <c r="M67" s="15">
        <f t="shared" si="33"/>
        <v>0</v>
      </c>
      <c r="N67" s="15">
        <f t="shared" si="33"/>
        <v>0</v>
      </c>
      <c r="O67" s="15">
        <f t="shared" si="33"/>
        <v>0</v>
      </c>
      <c r="P67" s="15">
        <f t="shared" si="33"/>
        <v>0</v>
      </c>
      <c r="Q67" s="15">
        <f t="shared" si="33"/>
        <v>0</v>
      </c>
      <c r="R67" s="15">
        <f t="shared" si="33"/>
        <v>0</v>
      </c>
      <c r="S67" s="15">
        <f t="shared" si="33"/>
        <v>0</v>
      </c>
      <c r="T67" s="15">
        <f t="shared" si="33"/>
        <v>0</v>
      </c>
      <c r="U67" s="15">
        <f t="shared" si="33"/>
        <v>0</v>
      </c>
      <c r="V67" s="15">
        <f t="shared" ref="V67:X67" si="34">IF($C$66="Inactif",0,IF(V13="Rocta",V66*0.08%+V66*0.08%*$M$4,IF(V13="Humains",V66*0.08%+V66*0.08%*$M$2+V66*0.08%*V35*0.5%,IF(V13="Méca",V66*0.08%+V66*0.08%*$M$3+V66*0.08%*V36*0.3%+V66*0.08%*V37*0.4%,V66*0.08%+V66*0.08%*$M$5+V66*0.08%*V38*0.25%))))</f>
        <v>0</v>
      </c>
      <c r="W67" s="15">
        <f t="shared" si="34"/>
        <v>0</v>
      </c>
      <c r="X67" s="15">
        <f t="shared" si="34"/>
        <v>0</v>
      </c>
      <c r="Y67" s="15">
        <f>SUM(E67:X67)</f>
        <v>0</v>
      </c>
    </row>
    <row r="68" spans="2:26" ht="15" customHeight="1" x14ac:dyDescent="0.3">
      <c r="B68" s="31" t="s">
        <v>186</v>
      </c>
      <c r="C68" s="9" t="s">
        <v>135</v>
      </c>
      <c r="D68" s="7" t="s">
        <v>61</v>
      </c>
      <c r="E68" s="9">
        <v>15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3">
        <f>SUM(E68:X68)</f>
        <v>15</v>
      </c>
    </row>
    <row r="69" spans="2:26" ht="15" customHeight="1" outlineLevel="1" x14ac:dyDescent="0.3">
      <c r="B69" s="34" t="s">
        <v>186</v>
      </c>
      <c r="C69" s="11"/>
      <c r="D69" s="14" t="s">
        <v>45</v>
      </c>
      <c r="E69" s="15">
        <f>IF($C$68="Inactif",0,IF(E13="Rocta",E68*0.06%+E68*0.06%*$M$4,IF(E13="Humains",E68*0.06%+E68*0.06%*$M$2+E68*0.06%*E35*0.5%,IF(E13="Méca",E68*0.06%+E68*0.06%*$M$3+E68*0.06%*E36*0.3%+E68*0.06%*E37*0.4%,E68*0.06%+E68*0.06%*$M$5+E68*0.06%*E38*0.25%))))</f>
        <v>1.0799999999999999E-2</v>
      </c>
      <c r="F69" s="15">
        <f t="shared" ref="F69:U69" si="35">IF($C$68="Inactif",0,IF(F13="Rocta",F68*0.06%+F68*0.06%*$M$4,IF(F13="Humains",F68*0.06%+F68*0.06%*$M$2+F68*0.06%*F35*0.5%,IF(F13="Méca",F68*0.06%+F68*0.06%*$M$3+F68*0.06%*F36*0.3%+F68*0.06%*F37*0.4%,F68*0.06%+F68*0.06%*$M$5+F68*0.06%*F38*0.25%))))</f>
        <v>0</v>
      </c>
      <c r="G69" s="15">
        <f t="shared" si="35"/>
        <v>0</v>
      </c>
      <c r="H69" s="15">
        <f t="shared" si="35"/>
        <v>0</v>
      </c>
      <c r="I69" s="15">
        <f t="shared" si="35"/>
        <v>0</v>
      </c>
      <c r="J69" s="15">
        <f t="shared" si="35"/>
        <v>0</v>
      </c>
      <c r="K69" s="15">
        <f t="shared" si="35"/>
        <v>0</v>
      </c>
      <c r="L69" s="15">
        <f t="shared" si="35"/>
        <v>0</v>
      </c>
      <c r="M69" s="15">
        <f t="shared" si="35"/>
        <v>0</v>
      </c>
      <c r="N69" s="15">
        <f t="shared" si="35"/>
        <v>0</v>
      </c>
      <c r="O69" s="15">
        <f t="shared" si="35"/>
        <v>0</v>
      </c>
      <c r="P69" s="15">
        <f t="shared" si="35"/>
        <v>0</v>
      </c>
      <c r="Q69" s="15">
        <f t="shared" si="35"/>
        <v>0</v>
      </c>
      <c r="R69" s="15">
        <f t="shared" si="35"/>
        <v>0</v>
      </c>
      <c r="S69" s="15">
        <f t="shared" si="35"/>
        <v>0</v>
      </c>
      <c r="T69" s="15">
        <f t="shared" si="35"/>
        <v>0</v>
      </c>
      <c r="U69" s="15">
        <f t="shared" si="35"/>
        <v>0</v>
      </c>
      <c r="V69" s="15">
        <f t="shared" ref="V69:X69" si="36">IF($C$68="Inactif",0,IF(V13="Rocta",V68*0.06%+V68*0.06%*$M$4,IF(V13="Humains",V68*0.06%+V68*0.06%*$M$2+V68*0.06%*V35*0.5%,IF(V13="Méca",V68*0.06%+V68*0.06%*$M$3+V68*0.06%*V36*0.3%+V68*0.06%*V37*0.4%,V68*0.06%+V68*0.06%*$M$5+V68*0.06%*V38*0.25%))))</f>
        <v>0</v>
      </c>
      <c r="W69" s="15">
        <f t="shared" si="36"/>
        <v>0</v>
      </c>
      <c r="X69" s="15">
        <f t="shared" si="36"/>
        <v>0</v>
      </c>
      <c r="Y69" s="15">
        <f>SUM(E69:X69)</f>
        <v>1.0799999999999999E-2</v>
      </c>
    </row>
    <row r="70" spans="2:26" ht="15" customHeight="1" x14ac:dyDescent="0.3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2:26" ht="15" customHeight="1" outlineLevel="1" x14ac:dyDescent="0.3">
      <c r="B71" s="34" t="s">
        <v>186</v>
      </c>
      <c r="D71" s="9" t="s">
        <v>178</v>
      </c>
      <c r="E71" s="27">
        <f>E41+E43+E47+E49+E55+E57+E59+E69</f>
        <v>8.6639999999999995E-2</v>
      </c>
      <c r="F71" s="27">
        <f t="shared" ref="F71:U71" si="37">F41+F43+F47+F49+F55+F57+F59+F69</f>
        <v>0</v>
      </c>
      <c r="G71" s="27">
        <f t="shared" si="37"/>
        <v>0</v>
      </c>
      <c r="H71" s="27">
        <f t="shared" si="37"/>
        <v>0</v>
      </c>
      <c r="I71" s="27">
        <f t="shared" si="37"/>
        <v>0</v>
      </c>
      <c r="J71" s="27">
        <f t="shared" si="37"/>
        <v>0</v>
      </c>
      <c r="K71" s="27">
        <f t="shared" si="37"/>
        <v>0</v>
      </c>
      <c r="L71" s="27">
        <f t="shared" si="37"/>
        <v>0</v>
      </c>
      <c r="M71" s="27">
        <f t="shared" si="37"/>
        <v>0</v>
      </c>
      <c r="N71" s="27">
        <f t="shared" si="37"/>
        <v>0</v>
      </c>
      <c r="O71" s="27">
        <f t="shared" si="37"/>
        <v>0</v>
      </c>
      <c r="P71" s="27">
        <f t="shared" si="37"/>
        <v>0</v>
      </c>
      <c r="Q71" s="27">
        <f t="shared" si="37"/>
        <v>0</v>
      </c>
      <c r="R71" s="27">
        <f t="shared" si="37"/>
        <v>0</v>
      </c>
      <c r="S71" s="27">
        <f t="shared" si="37"/>
        <v>0</v>
      </c>
      <c r="T71" s="27">
        <f t="shared" si="37"/>
        <v>0</v>
      </c>
      <c r="U71" s="27">
        <f t="shared" si="37"/>
        <v>0</v>
      </c>
      <c r="V71" s="27">
        <f t="shared" ref="V71:X71" si="38">V41+V43+V47+V49+V55+V57+V59+V69</f>
        <v>0</v>
      </c>
      <c r="W71" s="27">
        <f t="shared" si="38"/>
        <v>0</v>
      </c>
      <c r="X71" s="27">
        <f t="shared" si="38"/>
        <v>0</v>
      </c>
      <c r="Y71" s="15">
        <f>SUM(E71:X71)</f>
        <v>8.6639999999999995E-2</v>
      </c>
      <c r="Z71" s="42" t="s">
        <v>192</v>
      </c>
    </row>
    <row r="72" spans="2:26" ht="15" customHeight="1" outlineLevel="1" x14ac:dyDescent="0.3">
      <c r="B72" s="34" t="s">
        <v>186</v>
      </c>
      <c r="D72" s="9" t="s">
        <v>179</v>
      </c>
      <c r="E72" s="27">
        <f>E41+E43+E47+E49+E51+E55+E61+E69</f>
        <v>5.6879999999999993E-2</v>
      </c>
      <c r="F72" s="27">
        <f t="shared" ref="F72:U72" si="39">F41+F43+F47+F49+F51+F55+F61+F69</f>
        <v>0</v>
      </c>
      <c r="G72" s="27">
        <f t="shared" si="39"/>
        <v>0</v>
      </c>
      <c r="H72" s="27">
        <f t="shared" si="39"/>
        <v>0</v>
      </c>
      <c r="I72" s="27">
        <f t="shared" si="39"/>
        <v>0</v>
      </c>
      <c r="J72" s="27">
        <f t="shared" si="39"/>
        <v>0</v>
      </c>
      <c r="K72" s="27">
        <f t="shared" si="39"/>
        <v>0</v>
      </c>
      <c r="L72" s="27">
        <f t="shared" si="39"/>
        <v>0</v>
      </c>
      <c r="M72" s="27">
        <f t="shared" si="39"/>
        <v>0</v>
      </c>
      <c r="N72" s="27">
        <f t="shared" si="39"/>
        <v>0</v>
      </c>
      <c r="O72" s="27">
        <f t="shared" si="39"/>
        <v>0</v>
      </c>
      <c r="P72" s="27">
        <f t="shared" si="39"/>
        <v>0</v>
      </c>
      <c r="Q72" s="27">
        <f t="shared" si="39"/>
        <v>0</v>
      </c>
      <c r="R72" s="27">
        <f t="shared" si="39"/>
        <v>0</v>
      </c>
      <c r="S72" s="27">
        <f t="shared" si="39"/>
        <v>0</v>
      </c>
      <c r="T72" s="27">
        <f t="shared" si="39"/>
        <v>0</v>
      </c>
      <c r="U72" s="27">
        <f t="shared" si="39"/>
        <v>0</v>
      </c>
      <c r="V72" s="27">
        <f t="shared" ref="V72:X72" si="40">V41+V43+V47+V49+V51+V55+V61+V69</f>
        <v>0</v>
      </c>
      <c r="W72" s="27">
        <f t="shared" si="40"/>
        <v>0</v>
      </c>
      <c r="X72" s="27">
        <f t="shared" si="40"/>
        <v>0</v>
      </c>
      <c r="Y72" s="15">
        <f>SUM(E72:X72)</f>
        <v>5.6879999999999993E-2</v>
      </c>
      <c r="Z72" s="42" t="s">
        <v>193</v>
      </c>
    </row>
    <row r="73" spans="2:26" ht="15" customHeight="1" outlineLevel="1" x14ac:dyDescent="0.3">
      <c r="B73" s="34" t="s">
        <v>186</v>
      </c>
      <c r="D73" s="9" t="s">
        <v>180</v>
      </c>
      <c r="E73" s="27">
        <f>E41+E43+E45+E47+E49+E53+E55+E63+E67+E69</f>
        <v>9.4320000000000015E-2</v>
      </c>
      <c r="F73" s="27">
        <f t="shared" ref="F73:U73" si="41">F41+F43+F45+F47+F49+F53+F55+F63+F67+F69</f>
        <v>0</v>
      </c>
      <c r="G73" s="27">
        <f t="shared" si="41"/>
        <v>0</v>
      </c>
      <c r="H73" s="27">
        <f t="shared" si="41"/>
        <v>0</v>
      </c>
      <c r="I73" s="27">
        <f t="shared" si="41"/>
        <v>0</v>
      </c>
      <c r="J73" s="27">
        <f t="shared" si="41"/>
        <v>0</v>
      </c>
      <c r="K73" s="27">
        <f t="shared" si="41"/>
        <v>0</v>
      </c>
      <c r="L73" s="27">
        <f t="shared" si="41"/>
        <v>0</v>
      </c>
      <c r="M73" s="27">
        <f t="shared" si="41"/>
        <v>0</v>
      </c>
      <c r="N73" s="27">
        <f t="shared" si="41"/>
        <v>0</v>
      </c>
      <c r="O73" s="27">
        <f t="shared" si="41"/>
        <v>0</v>
      </c>
      <c r="P73" s="27">
        <f t="shared" si="41"/>
        <v>0</v>
      </c>
      <c r="Q73" s="27">
        <f t="shared" si="41"/>
        <v>0</v>
      </c>
      <c r="R73" s="27">
        <f t="shared" si="41"/>
        <v>0</v>
      </c>
      <c r="S73" s="27">
        <f t="shared" si="41"/>
        <v>0</v>
      </c>
      <c r="T73" s="27">
        <f t="shared" si="41"/>
        <v>0</v>
      </c>
      <c r="U73" s="27">
        <f t="shared" si="41"/>
        <v>0</v>
      </c>
      <c r="V73" s="27">
        <f t="shared" ref="V73:X73" si="42">V41+V43+V45+V47+V49+V53+V55+V63+V67+V69</f>
        <v>0</v>
      </c>
      <c r="W73" s="27">
        <f t="shared" si="42"/>
        <v>0</v>
      </c>
      <c r="X73" s="27">
        <f t="shared" si="42"/>
        <v>0</v>
      </c>
      <c r="Y73" s="15">
        <f>SUM(E73:X73)</f>
        <v>9.4320000000000015E-2</v>
      </c>
      <c r="Z73" s="42" t="s">
        <v>194</v>
      </c>
    </row>
    <row r="74" spans="2:26" ht="15" customHeight="1" x14ac:dyDescent="0.3"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2:26" ht="15" customHeight="1" x14ac:dyDescent="0.3">
      <c r="B75" s="5" t="s">
        <v>169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2:26" ht="15" customHeight="1" outlineLevel="1" x14ac:dyDescent="0.3">
      <c r="B76" s="35" t="s">
        <v>186</v>
      </c>
      <c r="C76" s="9" t="s">
        <v>62</v>
      </c>
      <c r="D76" s="9" t="s">
        <v>176</v>
      </c>
      <c r="E76" s="9">
        <f>30*(1+IF(OR(E11=6,E11=10),17%,IF(OR(E11=7,E11=9),23%,IF(E11=8,35%,0))))*$E$2</f>
        <v>300</v>
      </c>
      <c r="F76" s="9">
        <f t="shared" ref="F76:U76" si="43">30*(1+IF(OR(F11=6,F11=10),17%,IF(OR(F11=7,F11=9),23%,IF(F11=8,35%,0))))*$E$2</f>
        <v>300</v>
      </c>
      <c r="G76" s="9">
        <f t="shared" si="43"/>
        <v>300</v>
      </c>
      <c r="H76" s="9">
        <f t="shared" si="43"/>
        <v>300</v>
      </c>
      <c r="I76" s="9">
        <f t="shared" si="43"/>
        <v>300</v>
      </c>
      <c r="J76" s="9">
        <f t="shared" si="43"/>
        <v>300</v>
      </c>
      <c r="K76" s="9">
        <f t="shared" si="43"/>
        <v>300</v>
      </c>
      <c r="L76" s="9">
        <f t="shared" si="43"/>
        <v>300</v>
      </c>
      <c r="M76" s="9">
        <f t="shared" si="43"/>
        <v>300</v>
      </c>
      <c r="N76" s="9">
        <f t="shared" si="43"/>
        <v>300</v>
      </c>
      <c r="O76" s="9">
        <f t="shared" si="43"/>
        <v>300</v>
      </c>
      <c r="P76" s="9">
        <f t="shared" si="43"/>
        <v>300</v>
      </c>
      <c r="Q76" s="9">
        <f t="shared" si="43"/>
        <v>300</v>
      </c>
      <c r="R76" s="9">
        <f t="shared" si="43"/>
        <v>300</v>
      </c>
      <c r="S76" s="9">
        <f t="shared" si="43"/>
        <v>300</v>
      </c>
      <c r="T76" s="9">
        <f t="shared" si="43"/>
        <v>300</v>
      </c>
      <c r="U76" s="9">
        <f t="shared" si="43"/>
        <v>300</v>
      </c>
      <c r="V76" s="9">
        <f t="shared" ref="V76:X76" si="44">30*(1+IF(OR(V11=6,V11=10),17%,IF(OR(V11=7,V11=9),23%,IF(V11=8,35%,0))))*$E$2</f>
        <v>300</v>
      </c>
      <c r="W76" s="9">
        <f t="shared" si="44"/>
        <v>300</v>
      </c>
      <c r="X76" s="9">
        <f t="shared" si="44"/>
        <v>300</v>
      </c>
      <c r="Y76" s="22">
        <f>SUM(E76:X76)</f>
        <v>6000</v>
      </c>
      <c r="Z76" s="42" t="s">
        <v>192</v>
      </c>
    </row>
    <row r="77" spans="2:26" ht="15" customHeight="1" outlineLevel="1" x14ac:dyDescent="0.3">
      <c r="B77" s="35" t="s">
        <v>186</v>
      </c>
      <c r="C77" s="9" t="s">
        <v>62</v>
      </c>
      <c r="D77" s="9" t="s">
        <v>177</v>
      </c>
      <c r="E77" s="9">
        <f>15*(1+IF(E11=1,40%,IF(E11=2,30%,IF(E11=3,20%,0))))*$E$2</f>
        <v>150</v>
      </c>
      <c r="F77" s="9">
        <f t="shared" ref="F77:U77" si="45">15*(1+IF(F11=1,40%,IF(F11=2,30%,IF(F11=3,20%,0))))*$E$2</f>
        <v>150</v>
      </c>
      <c r="G77" s="9">
        <f t="shared" si="45"/>
        <v>150</v>
      </c>
      <c r="H77" s="9">
        <f t="shared" si="45"/>
        <v>150</v>
      </c>
      <c r="I77" s="9">
        <f t="shared" si="45"/>
        <v>150</v>
      </c>
      <c r="J77" s="9">
        <f t="shared" si="45"/>
        <v>150</v>
      </c>
      <c r="K77" s="9">
        <f t="shared" si="45"/>
        <v>150</v>
      </c>
      <c r="L77" s="9">
        <f t="shared" si="45"/>
        <v>150</v>
      </c>
      <c r="M77" s="9">
        <f t="shared" si="45"/>
        <v>150</v>
      </c>
      <c r="N77" s="9">
        <f t="shared" si="45"/>
        <v>150</v>
      </c>
      <c r="O77" s="9">
        <f t="shared" si="45"/>
        <v>150</v>
      </c>
      <c r="P77" s="9">
        <f t="shared" si="45"/>
        <v>150</v>
      </c>
      <c r="Q77" s="9">
        <f t="shared" si="45"/>
        <v>150</v>
      </c>
      <c r="R77" s="9">
        <f t="shared" si="45"/>
        <v>150</v>
      </c>
      <c r="S77" s="9">
        <f t="shared" si="45"/>
        <v>150</v>
      </c>
      <c r="T77" s="9">
        <f t="shared" si="45"/>
        <v>150</v>
      </c>
      <c r="U77" s="9">
        <f t="shared" si="45"/>
        <v>150</v>
      </c>
      <c r="V77" s="9">
        <f t="shared" ref="V77:X77" si="46">15*(1+IF(V11=1,40%,IF(V11=2,30%,IF(V11=3,20%,0))))*$E$2</f>
        <v>150</v>
      </c>
      <c r="W77" s="9">
        <f t="shared" si="46"/>
        <v>150</v>
      </c>
      <c r="X77" s="9">
        <f t="shared" si="46"/>
        <v>150</v>
      </c>
      <c r="Y77" s="22">
        <f>SUM(E77:X77)</f>
        <v>3000</v>
      </c>
      <c r="Z77" s="42" t="s">
        <v>193</v>
      </c>
    </row>
    <row r="78" spans="2:26" ht="15" customHeight="1" outlineLevel="1" x14ac:dyDescent="0.3">
      <c r="B78" s="35" t="s">
        <v>186</v>
      </c>
      <c r="C78" s="9" t="s">
        <v>62</v>
      </c>
      <c r="D78" s="9" t="s">
        <v>63</v>
      </c>
      <c r="E78" s="22">
        <f>E76*E17*1.1^E17</f>
        <v>1397048.1665021635</v>
      </c>
      <c r="F78" s="22">
        <f t="shared" ref="F78:U78" si="47">F76*F17*1.1^F17</f>
        <v>0</v>
      </c>
      <c r="G78" s="22">
        <f t="shared" si="47"/>
        <v>0</v>
      </c>
      <c r="H78" s="22">
        <f t="shared" si="47"/>
        <v>0</v>
      </c>
      <c r="I78" s="22">
        <f t="shared" si="47"/>
        <v>0</v>
      </c>
      <c r="J78" s="22">
        <f t="shared" si="47"/>
        <v>0</v>
      </c>
      <c r="K78" s="22">
        <f t="shared" si="47"/>
        <v>0</v>
      </c>
      <c r="L78" s="22">
        <f t="shared" si="47"/>
        <v>0</v>
      </c>
      <c r="M78" s="22">
        <f t="shared" si="47"/>
        <v>0</v>
      </c>
      <c r="N78" s="22">
        <f t="shared" si="47"/>
        <v>0</v>
      </c>
      <c r="O78" s="22">
        <f t="shared" si="47"/>
        <v>0</v>
      </c>
      <c r="P78" s="22">
        <f t="shared" si="47"/>
        <v>0</v>
      </c>
      <c r="Q78" s="22">
        <f t="shared" si="47"/>
        <v>0</v>
      </c>
      <c r="R78" s="22">
        <f t="shared" si="47"/>
        <v>0</v>
      </c>
      <c r="S78" s="22">
        <f t="shared" si="47"/>
        <v>0</v>
      </c>
      <c r="T78" s="22">
        <f t="shared" si="47"/>
        <v>0</v>
      </c>
      <c r="U78" s="22">
        <f t="shared" si="47"/>
        <v>0</v>
      </c>
      <c r="V78" s="22">
        <f t="shared" ref="V78:X78" si="48">V76*V17*1.1^V17</f>
        <v>0</v>
      </c>
      <c r="W78" s="22">
        <f t="shared" si="48"/>
        <v>0</v>
      </c>
      <c r="X78" s="22">
        <f t="shared" si="48"/>
        <v>0</v>
      </c>
      <c r="Y78" s="22">
        <f>SUM(E78:X78)</f>
        <v>1397048.1665021635</v>
      </c>
      <c r="Z78" s="42" t="s">
        <v>192</v>
      </c>
    </row>
    <row r="79" spans="2:26" ht="15" customHeight="1" outlineLevel="1" x14ac:dyDescent="0.3">
      <c r="B79" s="35" t="s">
        <v>186</v>
      </c>
      <c r="C79" s="9" t="s">
        <v>62</v>
      </c>
      <c r="D79" s="9" t="s">
        <v>64</v>
      </c>
      <c r="E79" s="22">
        <f>(20*(1+IF(E11=1,40%,IF(E11=2,30%,IF(E11=3,20%,0))))*$E$2)*E18*1.1^E18</f>
        <v>320929.26675615762</v>
      </c>
      <c r="F79" s="22">
        <f t="shared" ref="F79:U79" si="49">(20*(1+IF(F11=1,40%,IF(F11=2,30%,IF(F11=3,20%,0))))*$E$2)*F18*1.1^F18</f>
        <v>0</v>
      </c>
      <c r="G79" s="22">
        <f t="shared" si="49"/>
        <v>0</v>
      </c>
      <c r="H79" s="22">
        <f t="shared" si="49"/>
        <v>0</v>
      </c>
      <c r="I79" s="22">
        <f t="shared" si="49"/>
        <v>0</v>
      </c>
      <c r="J79" s="22">
        <f t="shared" si="49"/>
        <v>0</v>
      </c>
      <c r="K79" s="22">
        <f t="shared" si="49"/>
        <v>0</v>
      </c>
      <c r="L79" s="22">
        <f t="shared" si="49"/>
        <v>0</v>
      </c>
      <c r="M79" s="22">
        <f t="shared" si="49"/>
        <v>0</v>
      </c>
      <c r="N79" s="22">
        <f t="shared" si="49"/>
        <v>0</v>
      </c>
      <c r="O79" s="22">
        <f t="shared" si="49"/>
        <v>0</v>
      </c>
      <c r="P79" s="22">
        <f t="shared" si="49"/>
        <v>0</v>
      </c>
      <c r="Q79" s="22">
        <f t="shared" si="49"/>
        <v>0</v>
      </c>
      <c r="R79" s="22">
        <f t="shared" si="49"/>
        <v>0</v>
      </c>
      <c r="S79" s="22">
        <f t="shared" si="49"/>
        <v>0</v>
      </c>
      <c r="T79" s="22">
        <f t="shared" si="49"/>
        <v>0</v>
      </c>
      <c r="U79" s="22">
        <f t="shared" si="49"/>
        <v>0</v>
      </c>
      <c r="V79" s="22">
        <f t="shared" ref="V79:X79" si="50">(20*(1+IF(V11=1,40%,IF(V11=2,30%,IF(V11=3,20%,0))))*$E$2)*V18*1.1^V18</f>
        <v>0</v>
      </c>
      <c r="W79" s="22">
        <f t="shared" si="50"/>
        <v>0</v>
      </c>
      <c r="X79" s="22">
        <f t="shared" si="50"/>
        <v>0</v>
      </c>
      <c r="Y79" s="22">
        <f t="shared" ref="Y79:Y144" si="51">SUM(E79:X79)</f>
        <v>320929.26675615762</v>
      </c>
      <c r="Z79" s="42" t="s">
        <v>193</v>
      </c>
    </row>
    <row r="80" spans="2:26" ht="15" customHeight="1" outlineLevel="1" x14ac:dyDescent="0.3">
      <c r="B80" s="35" t="s">
        <v>186</v>
      </c>
      <c r="C80" s="9" t="s">
        <v>62</v>
      </c>
      <c r="D80" s="9" t="s">
        <v>65</v>
      </c>
      <c r="E80" s="22">
        <f t="shared" ref="E80:U80" si="52">10*E19*1.1^E19*(1.44-0.004*E12)*$E$2</f>
        <v>507703.3028909507</v>
      </c>
      <c r="F80" s="22">
        <f t="shared" si="52"/>
        <v>0</v>
      </c>
      <c r="G80" s="22">
        <f t="shared" si="52"/>
        <v>0</v>
      </c>
      <c r="H80" s="22">
        <f t="shared" si="52"/>
        <v>0</v>
      </c>
      <c r="I80" s="22">
        <f t="shared" si="52"/>
        <v>0</v>
      </c>
      <c r="J80" s="22">
        <f t="shared" si="52"/>
        <v>0</v>
      </c>
      <c r="K80" s="22">
        <f t="shared" si="52"/>
        <v>0</v>
      </c>
      <c r="L80" s="22">
        <f t="shared" si="52"/>
        <v>0</v>
      </c>
      <c r="M80" s="22">
        <f t="shared" si="52"/>
        <v>0</v>
      </c>
      <c r="N80" s="22">
        <f t="shared" si="52"/>
        <v>0</v>
      </c>
      <c r="O80" s="22">
        <f t="shared" si="52"/>
        <v>0</v>
      </c>
      <c r="P80" s="22">
        <f t="shared" si="52"/>
        <v>0</v>
      </c>
      <c r="Q80" s="22">
        <f t="shared" si="52"/>
        <v>0</v>
      </c>
      <c r="R80" s="22">
        <f t="shared" si="52"/>
        <v>0</v>
      </c>
      <c r="S80" s="22">
        <f t="shared" si="52"/>
        <v>0</v>
      </c>
      <c r="T80" s="22">
        <f t="shared" si="52"/>
        <v>0</v>
      </c>
      <c r="U80" s="22">
        <f t="shared" si="52"/>
        <v>0</v>
      </c>
      <c r="V80" s="22">
        <f t="shared" ref="V80:X80" si="53">10*V19*1.1^V19*(1.44-0.004*V12)*$E$2</f>
        <v>0</v>
      </c>
      <c r="W80" s="22">
        <f t="shared" si="53"/>
        <v>0</v>
      </c>
      <c r="X80" s="22">
        <f t="shared" si="53"/>
        <v>0</v>
      </c>
      <c r="Y80" s="22">
        <f t="shared" si="51"/>
        <v>507703.3028909507</v>
      </c>
      <c r="Z80" s="42" t="s">
        <v>194</v>
      </c>
    </row>
    <row r="81" spans="2:26" ht="15" customHeight="1" outlineLevel="1" x14ac:dyDescent="0.3">
      <c r="B81" s="35" t="s">
        <v>186</v>
      </c>
      <c r="C81" s="9" t="s">
        <v>62</v>
      </c>
      <c r="D81" s="9" t="s">
        <v>66</v>
      </c>
      <c r="E81" s="22">
        <f t="shared" ref="E81:U81" si="54">ROUNDUP((10 * E20 * 1.1^E20)*$E$2,0)</f>
        <v>23640</v>
      </c>
      <c r="F81" s="22">
        <f t="shared" si="54"/>
        <v>0</v>
      </c>
      <c r="G81" s="22">
        <f t="shared" si="54"/>
        <v>0</v>
      </c>
      <c r="H81" s="22">
        <f t="shared" si="54"/>
        <v>0</v>
      </c>
      <c r="I81" s="22">
        <f t="shared" si="54"/>
        <v>0</v>
      </c>
      <c r="J81" s="22">
        <f t="shared" si="54"/>
        <v>0</v>
      </c>
      <c r="K81" s="22">
        <f t="shared" si="54"/>
        <v>0</v>
      </c>
      <c r="L81" s="22">
        <f t="shared" si="54"/>
        <v>0</v>
      </c>
      <c r="M81" s="22">
        <f t="shared" si="54"/>
        <v>0</v>
      </c>
      <c r="N81" s="22">
        <f t="shared" si="54"/>
        <v>0</v>
      </c>
      <c r="O81" s="22">
        <f t="shared" si="54"/>
        <v>0</v>
      </c>
      <c r="P81" s="22">
        <f t="shared" si="54"/>
        <v>0</v>
      </c>
      <c r="Q81" s="22">
        <f t="shared" si="54"/>
        <v>0</v>
      </c>
      <c r="R81" s="22">
        <f t="shared" si="54"/>
        <v>0</v>
      </c>
      <c r="S81" s="22">
        <f t="shared" si="54"/>
        <v>0</v>
      </c>
      <c r="T81" s="22">
        <f t="shared" si="54"/>
        <v>0</v>
      </c>
      <c r="U81" s="22">
        <f t="shared" si="54"/>
        <v>0</v>
      </c>
      <c r="V81" s="22">
        <f t="shared" ref="V81:X81" si="55">ROUNDUP((10 * V20 * 1.1^V20)*$E$2,0)</f>
        <v>0</v>
      </c>
      <c r="W81" s="22">
        <f t="shared" si="55"/>
        <v>0</v>
      </c>
      <c r="X81" s="22">
        <f t="shared" si="55"/>
        <v>0</v>
      </c>
      <c r="Y81" s="22">
        <f t="shared" si="51"/>
        <v>23640</v>
      </c>
      <c r="Z81" s="42" t="s">
        <v>194</v>
      </c>
    </row>
    <row r="82" spans="2:26" ht="15" customHeight="1" outlineLevel="1" x14ac:dyDescent="0.3">
      <c r="B82" s="35" t="s">
        <v>186</v>
      </c>
      <c r="C82" s="9" t="s">
        <v>67</v>
      </c>
      <c r="D82" s="9" t="s">
        <v>152</v>
      </c>
      <c r="E82" s="22">
        <f t="shared" ref="E82:U82" si="56">IF(E13="Rocta",E78*E21*0.02,0)</f>
        <v>0</v>
      </c>
      <c r="F82" s="22">
        <f t="shared" si="56"/>
        <v>0</v>
      </c>
      <c r="G82" s="22">
        <f t="shared" si="56"/>
        <v>0</v>
      </c>
      <c r="H82" s="22">
        <f t="shared" si="56"/>
        <v>0</v>
      </c>
      <c r="I82" s="22">
        <f t="shared" si="56"/>
        <v>0</v>
      </c>
      <c r="J82" s="22">
        <f t="shared" si="56"/>
        <v>0</v>
      </c>
      <c r="K82" s="22">
        <f t="shared" si="56"/>
        <v>0</v>
      </c>
      <c r="L82" s="22">
        <f t="shared" si="56"/>
        <v>0</v>
      </c>
      <c r="M82" s="22">
        <f t="shared" si="56"/>
        <v>0</v>
      </c>
      <c r="N82" s="22">
        <f t="shared" si="56"/>
        <v>0</v>
      </c>
      <c r="O82" s="22">
        <f t="shared" si="56"/>
        <v>0</v>
      </c>
      <c r="P82" s="22">
        <f t="shared" si="56"/>
        <v>0</v>
      </c>
      <c r="Q82" s="22">
        <f t="shared" si="56"/>
        <v>0</v>
      </c>
      <c r="R82" s="22">
        <f t="shared" si="56"/>
        <v>0</v>
      </c>
      <c r="S82" s="22">
        <f t="shared" si="56"/>
        <v>0</v>
      </c>
      <c r="T82" s="22">
        <f t="shared" si="56"/>
        <v>0</v>
      </c>
      <c r="U82" s="22">
        <f t="shared" si="56"/>
        <v>0</v>
      </c>
      <c r="V82" s="22">
        <f t="shared" ref="V82:X82" si="57">IF(V13="Rocta",V78*V21*0.02,0)</f>
        <v>0</v>
      </c>
      <c r="W82" s="22">
        <f t="shared" si="57"/>
        <v>0</v>
      </c>
      <c r="X82" s="22">
        <f t="shared" si="57"/>
        <v>0</v>
      </c>
      <c r="Y82" s="22">
        <f t="shared" si="51"/>
        <v>0</v>
      </c>
      <c r="Z82" s="42" t="s">
        <v>192</v>
      </c>
    </row>
    <row r="83" spans="2:26" ht="15" customHeight="1" outlineLevel="1" x14ac:dyDescent="0.3">
      <c r="B83" s="35" t="s">
        <v>186</v>
      </c>
      <c r="C83" s="9" t="s">
        <v>67</v>
      </c>
      <c r="D83" s="9" t="s">
        <v>153</v>
      </c>
      <c r="E83" s="22">
        <f t="shared" ref="E83:U83" si="58">IF(E13="Rocta",E79*E22*0.02,0)</f>
        <v>0</v>
      </c>
      <c r="F83" s="22">
        <f t="shared" si="58"/>
        <v>0</v>
      </c>
      <c r="G83" s="22">
        <f t="shared" si="58"/>
        <v>0</v>
      </c>
      <c r="H83" s="22">
        <f t="shared" si="58"/>
        <v>0</v>
      </c>
      <c r="I83" s="22">
        <f t="shared" si="58"/>
        <v>0</v>
      </c>
      <c r="J83" s="22">
        <f t="shared" si="58"/>
        <v>0</v>
      </c>
      <c r="K83" s="22">
        <f t="shared" si="58"/>
        <v>0</v>
      </c>
      <c r="L83" s="22">
        <f t="shared" si="58"/>
        <v>0</v>
      </c>
      <c r="M83" s="22">
        <f t="shared" si="58"/>
        <v>0</v>
      </c>
      <c r="N83" s="22">
        <f t="shared" si="58"/>
        <v>0</v>
      </c>
      <c r="O83" s="22">
        <f t="shared" si="58"/>
        <v>0</v>
      </c>
      <c r="P83" s="22">
        <f t="shared" si="58"/>
        <v>0</v>
      </c>
      <c r="Q83" s="22">
        <f t="shared" si="58"/>
        <v>0</v>
      </c>
      <c r="R83" s="22">
        <f t="shared" si="58"/>
        <v>0</v>
      </c>
      <c r="S83" s="22">
        <f t="shared" si="58"/>
        <v>0</v>
      </c>
      <c r="T83" s="22">
        <f t="shared" si="58"/>
        <v>0</v>
      </c>
      <c r="U83" s="22">
        <f t="shared" si="58"/>
        <v>0</v>
      </c>
      <c r="V83" s="22">
        <f t="shared" ref="V83:X83" si="59">IF(V13="Rocta",V79*V22*0.02,0)</f>
        <v>0</v>
      </c>
      <c r="W83" s="22">
        <f t="shared" si="59"/>
        <v>0</v>
      </c>
      <c r="X83" s="22">
        <f t="shared" si="59"/>
        <v>0</v>
      </c>
      <c r="Y83" s="22">
        <f t="shared" si="51"/>
        <v>0</v>
      </c>
      <c r="Z83" s="42" t="s">
        <v>193</v>
      </c>
    </row>
    <row r="84" spans="2:26" ht="15" customHeight="1" outlineLevel="1" x14ac:dyDescent="0.3">
      <c r="B84" s="35" t="s">
        <v>186</v>
      </c>
      <c r="C84" s="9" t="s">
        <v>67</v>
      </c>
      <c r="D84" s="9" t="s">
        <v>154</v>
      </c>
      <c r="E84" s="22">
        <f t="shared" ref="E84:U84" si="60">IF(E13="Rocta",E80*E23*0.02,0)</f>
        <v>0</v>
      </c>
      <c r="F84" s="22">
        <f t="shared" si="60"/>
        <v>0</v>
      </c>
      <c r="G84" s="22">
        <f t="shared" si="60"/>
        <v>0</v>
      </c>
      <c r="H84" s="22">
        <f t="shared" si="60"/>
        <v>0</v>
      </c>
      <c r="I84" s="22">
        <f t="shared" si="60"/>
        <v>0</v>
      </c>
      <c r="J84" s="22">
        <f t="shared" si="60"/>
        <v>0</v>
      </c>
      <c r="K84" s="22">
        <f t="shared" si="60"/>
        <v>0</v>
      </c>
      <c r="L84" s="22">
        <f t="shared" si="60"/>
        <v>0</v>
      </c>
      <c r="M84" s="22">
        <f t="shared" si="60"/>
        <v>0</v>
      </c>
      <c r="N84" s="22">
        <f t="shared" si="60"/>
        <v>0</v>
      </c>
      <c r="O84" s="22">
        <f t="shared" si="60"/>
        <v>0</v>
      </c>
      <c r="P84" s="22">
        <f t="shared" si="60"/>
        <v>0</v>
      </c>
      <c r="Q84" s="22">
        <f t="shared" si="60"/>
        <v>0</v>
      </c>
      <c r="R84" s="22">
        <f t="shared" si="60"/>
        <v>0</v>
      </c>
      <c r="S84" s="22">
        <f t="shared" si="60"/>
        <v>0</v>
      </c>
      <c r="T84" s="22">
        <f t="shared" si="60"/>
        <v>0</v>
      </c>
      <c r="U84" s="22">
        <f t="shared" si="60"/>
        <v>0</v>
      </c>
      <c r="V84" s="22">
        <f t="shared" ref="V84:X84" si="61">IF(V13="Rocta",V80*V23*0.02,0)</f>
        <v>0</v>
      </c>
      <c r="W84" s="22">
        <f t="shared" si="61"/>
        <v>0</v>
      </c>
      <c r="X84" s="22">
        <f t="shared" si="61"/>
        <v>0</v>
      </c>
      <c r="Y84" s="22">
        <f t="shared" si="51"/>
        <v>0</v>
      </c>
      <c r="Z84" s="42" t="s">
        <v>194</v>
      </c>
    </row>
    <row r="85" spans="2:26" ht="15" customHeight="1" outlineLevel="1" x14ac:dyDescent="0.3">
      <c r="B85" s="35" t="s">
        <v>186</v>
      </c>
      <c r="C85" s="9" t="s">
        <v>67</v>
      </c>
      <c r="D85" s="9" t="s">
        <v>155</v>
      </c>
      <c r="E85" s="22">
        <f t="shared" ref="E85:U85" si="62">IF(E13="Humains",E78*E24*0.015,0)</f>
        <v>0</v>
      </c>
      <c r="F85" s="22">
        <f t="shared" si="62"/>
        <v>0</v>
      </c>
      <c r="G85" s="22">
        <f t="shared" si="62"/>
        <v>0</v>
      </c>
      <c r="H85" s="22">
        <f t="shared" si="62"/>
        <v>0</v>
      </c>
      <c r="I85" s="22">
        <f t="shared" si="62"/>
        <v>0</v>
      </c>
      <c r="J85" s="22">
        <f t="shared" si="62"/>
        <v>0</v>
      </c>
      <c r="K85" s="22">
        <f t="shared" si="62"/>
        <v>0</v>
      </c>
      <c r="L85" s="22">
        <f t="shared" si="62"/>
        <v>0</v>
      </c>
      <c r="M85" s="22">
        <f t="shared" si="62"/>
        <v>0</v>
      </c>
      <c r="N85" s="22">
        <f t="shared" si="62"/>
        <v>0</v>
      </c>
      <c r="O85" s="22">
        <f t="shared" si="62"/>
        <v>0</v>
      </c>
      <c r="P85" s="22">
        <f t="shared" si="62"/>
        <v>0</v>
      </c>
      <c r="Q85" s="22">
        <f t="shared" si="62"/>
        <v>0</v>
      </c>
      <c r="R85" s="22">
        <f t="shared" si="62"/>
        <v>0</v>
      </c>
      <c r="S85" s="22">
        <f t="shared" si="62"/>
        <v>0</v>
      </c>
      <c r="T85" s="22">
        <f t="shared" si="62"/>
        <v>0</v>
      </c>
      <c r="U85" s="22">
        <f t="shared" si="62"/>
        <v>0</v>
      </c>
      <c r="V85" s="22">
        <f t="shared" ref="V85:X85" si="63">IF(V13="Humains",V78*V24*0.015,0)</f>
        <v>0</v>
      </c>
      <c r="W85" s="22">
        <f t="shared" si="63"/>
        <v>0</v>
      </c>
      <c r="X85" s="22">
        <f t="shared" si="63"/>
        <v>0</v>
      </c>
      <c r="Y85" s="22">
        <f t="shared" si="51"/>
        <v>0</v>
      </c>
      <c r="Z85" s="42" t="s">
        <v>192</v>
      </c>
    </row>
    <row r="86" spans="2:26" ht="15" customHeight="1" outlineLevel="1" x14ac:dyDescent="0.3">
      <c r="B86" s="35" t="s">
        <v>186</v>
      </c>
      <c r="C86" s="9" t="s">
        <v>67</v>
      </c>
      <c r="D86" s="9" t="s">
        <v>156</v>
      </c>
      <c r="E86" s="22">
        <f t="shared" ref="E86:U86" si="64">IF(E13="Humains",E79*E25*0.015,0)</f>
        <v>0</v>
      </c>
      <c r="F86" s="22">
        <f t="shared" si="64"/>
        <v>0</v>
      </c>
      <c r="G86" s="22">
        <f t="shared" si="64"/>
        <v>0</v>
      </c>
      <c r="H86" s="22">
        <f t="shared" si="64"/>
        <v>0</v>
      </c>
      <c r="I86" s="22">
        <f t="shared" si="64"/>
        <v>0</v>
      </c>
      <c r="J86" s="22">
        <f t="shared" si="64"/>
        <v>0</v>
      </c>
      <c r="K86" s="22">
        <f t="shared" si="64"/>
        <v>0</v>
      </c>
      <c r="L86" s="22">
        <f t="shared" si="64"/>
        <v>0</v>
      </c>
      <c r="M86" s="22">
        <f t="shared" si="64"/>
        <v>0</v>
      </c>
      <c r="N86" s="22">
        <f t="shared" si="64"/>
        <v>0</v>
      </c>
      <c r="O86" s="22">
        <f t="shared" si="64"/>
        <v>0</v>
      </c>
      <c r="P86" s="22">
        <f t="shared" si="64"/>
        <v>0</v>
      </c>
      <c r="Q86" s="22">
        <f t="shared" si="64"/>
        <v>0</v>
      </c>
      <c r="R86" s="22">
        <f t="shared" si="64"/>
        <v>0</v>
      </c>
      <c r="S86" s="22">
        <f t="shared" si="64"/>
        <v>0</v>
      </c>
      <c r="T86" s="22">
        <f t="shared" si="64"/>
        <v>0</v>
      </c>
      <c r="U86" s="22">
        <f t="shared" si="64"/>
        <v>0</v>
      </c>
      <c r="V86" s="22">
        <f t="shared" ref="V86:X86" si="65">IF(V13="Humains",V79*V25*0.015,0)</f>
        <v>0</v>
      </c>
      <c r="W86" s="22">
        <f t="shared" si="65"/>
        <v>0</v>
      </c>
      <c r="X86" s="22">
        <f t="shared" si="65"/>
        <v>0</v>
      </c>
      <c r="Y86" s="22">
        <f t="shared" si="51"/>
        <v>0</v>
      </c>
      <c r="Z86" s="42" t="s">
        <v>193</v>
      </c>
    </row>
    <row r="87" spans="2:26" ht="15" customHeight="1" outlineLevel="1" x14ac:dyDescent="0.3">
      <c r="B87" s="35" t="s">
        <v>186</v>
      </c>
      <c r="C87" s="9" t="s">
        <v>67</v>
      </c>
      <c r="D87" s="9" t="s">
        <v>157</v>
      </c>
      <c r="E87" s="22">
        <f t="shared" ref="E87:U87" si="66">IF(E13="Humains",E80*E26*0.01,0)</f>
        <v>0</v>
      </c>
      <c r="F87" s="22">
        <f t="shared" si="66"/>
        <v>0</v>
      </c>
      <c r="G87" s="22">
        <f t="shared" si="66"/>
        <v>0</v>
      </c>
      <c r="H87" s="22">
        <f t="shared" si="66"/>
        <v>0</v>
      </c>
      <c r="I87" s="22">
        <f t="shared" si="66"/>
        <v>0</v>
      </c>
      <c r="J87" s="22">
        <f t="shared" si="66"/>
        <v>0</v>
      </c>
      <c r="K87" s="22">
        <f t="shared" si="66"/>
        <v>0</v>
      </c>
      <c r="L87" s="22">
        <f t="shared" si="66"/>
        <v>0</v>
      </c>
      <c r="M87" s="22">
        <f t="shared" si="66"/>
        <v>0</v>
      </c>
      <c r="N87" s="22">
        <f t="shared" si="66"/>
        <v>0</v>
      </c>
      <c r="O87" s="22">
        <f t="shared" si="66"/>
        <v>0</v>
      </c>
      <c r="P87" s="22">
        <f t="shared" si="66"/>
        <v>0</v>
      </c>
      <c r="Q87" s="22">
        <f t="shared" si="66"/>
        <v>0</v>
      </c>
      <c r="R87" s="22">
        <f t="shared" si="66"/>
        <v>0</v>
      </c>
      <c r="S87" s="22">
        <f t="shared" si="66"/>
        <v>0</v>
      </c>
      <c r="T87" s="22">
        <f t="shared" si="66"/>
        <v>0</v>
      </c>
      <c r="U87" s="22">
        <f t="shared" si="66"/>
        <v>0</v>
      </c>
      <c r="V87" s="22">
        <f t="shared" ref="V87:X87" si="67">IF(V13="Humains",V80*V26*0.01,0)</f>
        <v>0</v>
      </c>
      <c r="W87" s="22">
        <f t="shared" si="67"/>
        <v>0</v>
      </c>
      <c r="X87" s="22">
        <f t="shared" si="67"/>
        <v>0</v>
      </c>
      <c r="Y87" s="22">
        <f t="shared" si="51"/>
        <v>0</v>
      </c>
      <c r="Z87" s="42" t="s">
        <v>194</v>
      </c>
    </row>
    <row r="88" spans="2:26" ht="15" customHeight="1" outlineLevel="1" x14ac:dyDescent="0.3">
      <c r="B88" s="35" t="s">
        <v>186</v>
      </c>
      <c r="C88" s="9" t="s">
        <v>67</v>
      </c>
      <c r="D88" s="9" t="s">
        <v>154</v>
      </c>
      <c r="E88" s="22">
        <f t="shared" ref="E88:U88" si="68">IF(E13="Méca",E80*E27*0.02,0)</f>
        <v>152310.9908672852</v>
      </c>
      <c r="F88" s="22">
        <f t="shared" si="68"/>
        <v>0</v>
      </c>
      <c r="G88" s="22">
        <f t="shared" si="68"/>
        <v>0</v>
      </c>
      <c r="H88" s="22">
        <f t="shared" si="68"/>
        <v>0</v>
      </c>
      <c r="I88" s="22">
        <f t="shared" si="68"/>
        <v>0</v>
      </c>
      <c r="J88" s="22">
        <f t="shared" si="68"/>
        <v>0</v>
      </c>
      <c r="K88" s="22">
        <f t="shared" si="68"/>
        <v>0</v>
      </c>
      <c r="L88" s="22">
        <f t="shared" si="68"/>
        <v>0</v>
      </c>
      <c r="M88" s="22">
        <f t="shared" si="68"/>
        <v>0</v>
      </c>
      <c r="N88" s="22">
        <f t="shared" si="68"/>
        <v>0</v>
      </c>
      <c r="O88" s="22">
        <f t="shared" si="68"/>
        <v>0</v>
      </c>
      <c r="P88" s="22">
        <f t="shared" si="68"/>
        <v>0</v>
      </c>
      <c r="Q88" s="22">
        <f t="shared" si="68"/>
        <v>0</v>
      </c>
      <c r="R88" s="22">
        <f t="shared" si="68"/>
        <v>0</v>
      </c>
      <c r="S88" s="22">
        <f t="shared" si="68"/>
        <v>0</v>
      </c>
      <c r="T88" s="22">
        <f t="shared" si="68"/>
        <v>0</v>
      </c>
      <c r="U88" s="22">
        <f t="shared" si="68"/>
        <v>0</v>
      </c>
      <c r="V88" s="22">
        <f t="shared" ref="V88:X88" si="69">IF(V13="Méca",V80*V27*0.02,0)</f>
        <v>0</v>
      </c>
      <c r="W88" s="22">
        <f t="shared" si="69"/>
        <v>0</v>
      </c>
      <c r="X88" s="22">
        <f t="shared" si="69"/>
        <v>0</v>
      </c>
      <c r="Y88" s="22">
        <f t="shared" si="51"/>
        <v>152310.9908672852</v>
      </c>
      <c r="Z88" s="42" t="s">
        <v>194</v>
      </c>
    </row>
    <row r="89" spans="2:26" ht="15" customHeight="1" outlineLevel="1" x14ac:dyDescent="0.3">
      <c r="B89" s="35" t="s">
        <v>186</v>
      </c>
      <c r="C89" s="9" t="s">
        <v>68</v>
      </c>
      <c r="D89" s="9" t="s">
        <v>69</v>
      </c>
      <c r="E89" s="22">
        <f t="shared" ref="E89:U89" si="70">IF(E3="Collecteur",E78*E14*0.02%*1.5,E78*E14*0.02%)</f>
        <v>290586.01863245002</v>
      </c>
      <c r="F89" s="22">
        <f t="shared" si="70"/>
        <v>0</v>
      </c>
      <c r="G89" s="22">
        <f t="shared" si="70"/>
        <v>0</v>
      </c>
      <c r="H89" s="22">
        <f t="shared" si="70"/>
        <v>0</v>
      </c>
      <c r="I89" s="22">
        <f t="shared" si="70"/>
        <v>0</v>
      </c>
      <c r="J89" s="22">
        <f t="shared" si="70"/>
        <v>0</v>
      </c>
      <c r="K89" s="22">
        <f t="shared" si="70"/>
        <v>0</v>
      </c>
      <c r="L89" s="22">
        <f t="shared" si="70"/>
        <v>0</v>
      </c>
      <c r="M89" s="22">
        <f t="shared" si="70"/>
        <v>0</v>
      </c>
      <c r="N89" s="22">
        <f t="shared" si="70"/>
        <v>0</v>
      </c>
      <c r="O89" s="22">
        <f t="shared" si="70"/>
        <v>0</v>
      </c>
      <c r="P89" s="22">
        <f t="shared" si="70"/>
        <v>0</v>
      </c>
      <c r="Q89" s="22">
        <f t="shared" si="70"/>
        <v>0</v>
      </c>
      <c r="R89" s="22">
        <f t="shared" si="70"/>
        <v>0</v>
      </c>
      <c r="S89" s="22">
        <f t="shared" si="70"/>
        <v>0</v>
      </c>
      <c r="T89" s="22">
        <f t="shared" si="70"/>
        <v>0</v>
      </c>
      <c r="U89" s="22">
        <f t="shared" si="70"/>
        <v>0</v>
      </c>
      <c r="V89" s="22">
        <f t="shared" ref="V89:X89" si="71">IF(V3="Collecteur",V78*V14*0.02%*1.5,V78*V14*0.02%)</f>
        <v>0</v>
      </c>
      <c r="W89" s="22">
        <f t="shared" si="71"/>
        <v>0</v>
      </c>
      <c r="X89" s="22">
        <f t="shared" si="71"/>
        <v>0</v>
      </c>
      <c r="Y89" s="22">
        <f t="shared" si="51"/>
        <v>290586.01863245002</v>
      </c>
      <c r="Z89" s="42" t="s">
        <v>192</v>
      </c>
    </row>
    <row r="90" spans="2:26" ht="15" customHeight="1" outlineLevel="1" x14ac:dyDescent="0.3">
      <c r="B90" s="35" t="s">
        <v>186</v>
      </c>
      <c r="C90" s="9" t="s">
        <v>68</v>
      </c>
      <c r="D90" s="9" t="s">
        <v>70</v>
      </c>
      <c r="E90" s="22">
        <f t="shared" ref="E90:U90" si="72">IF(E3="Collecteur",E79*E14*0.02%*1.5,E79*E14*0.02%)</f>
        <v>66753.287485280787</v>
      </c>
      <c r="F90" s="22">
        <f t="shared" si="72"/>
        <v>0</v>
      </c>
      <c r="G90" s="22">
        <f t="shared" si="72"/>
        <v>0</v>
      </c>
      <c r="H90" s="22">
        <f t="shared" si="72"/>
        <v>0</v>
      </c>
      <c r="I90" s="22">
        <f t="shared" si="72"/>
        <v>0</v>
      </c>
      <c r="J90" s="22">
        <f t="shared" si="72"/>
        <v>0</v>
      </c>
      <c r="K90" s="22">
        <f t="shared" si="72"/>
        <v>0</v>
      </c>
      <c r="L90" s="22">
        <f t="shared" si="72"/>
        <v>0</v>
      </c>
      <c r="M90" s="22">
        <f t="shared" si="72"/>
        <v>0</v>
      </c>
      <c r="N90" s="22">
        <f t="shared" si="72"/>
        <v>0</v>
      </c>
      <c r="O90" s="22">
        <f t="shared" si="72"/>
        <v>0</v>
      </c>
      <c r="P90" s="22">
        <f t="shared" si="72"/>
        <v>0</v>
      </c>
      <c r="Q90" s="22">
        <f t="shared" si="72"/>
        <v>0</v>
      </c>
      <c r="R90" s="22">
        <f t="shared" si="72"/>
        <v>0</v>
      </c>
      <c r="S90" s="22">
        <f t="shared" si="72"/>
        <v>0</v>
      </c>
      <c r="T90" s="22">
        <f t="shared" si="72"/>
        <v>0</v>
      </c>
      <c r="U90" s="22">
        <f t="shared" si="72"/>
        <v>0</v>
      </c>
      <c r="V90" s="22">
        <f t="shared" ref="V90:X90" si="73">IF(V3="Collecteur",V79*V14*0.02%*1.5,V79*V14*0.02%)</f>
        <v>0</v>
      </c>
      <c r="W90" s="22">
        <f t="shared" si="73"/>
        <v>0</v>
      </c>
      <c r="X90" s="22">
        <f t="shared" si="73"/>
        <v>0</v>
      </c>
      <c r="Y90" s="22">
        <f t="shared" si="51"/>
        <v>66753.287485280787</v>
      </c>
      <c r="Z90" s="42" t="s">
        <v>193</v>
      </c>
    </row>
    <row r="91" spans="2:26" ht="15" customHeight="1" outlineLevel="1" x14ac:dyDescent="0.3">
      <c r="B91" s="35" t="s">
        <v>186</v>
      </c>
      <c r="C91" s="9" t="s">
        <v>68</v>
      </c>
      <c r="D91" s="9" t="s">
        <v>71</v>
      </c>
      <c r="E91" s="22">
        <f t="shared" ref="E91:U91" si="74">IF(E3="Collecteur",E80*E14*0.02%*1.5,E80*E14*0.02%)</f>
        <v>105602.28700131775</v>
      </c>
      <c r="F91" s="22">
        <f t="shared" si="74"/>
        <v>0</v>
      </c>
      <c r="G91" s="22">
        <f t="shared" si="74"/>
        <v>0</v>
      </c>
      <c r="H91" s="22">
        <f t="shared" si="74"/>
        <v>0</v>
      </c>
      <c r="I91" s="22">
        <f t="shared" si="74"/>
        <v>0</v>
      </c>
      <c r="J91" s="22">
        <f t="shared" si="74"/>
        <v>0</v>
      </c>
      <c r="K91" s="22">
        <f t="shared" si="74"/>
        <v>0</v>
      </c>
      <c r="L91" s="22">
        <f t="shared" si="74"/>
        <v>0</v>
      </c>
      <c r="M91" s="22">
        <f t="shared" si="74"/>
        <v>0</v>
      </c>
      <c r="N91" s="22">
        <f t="shared" si="74"/>
        <v>0</v>
      </c>
      <c r="O91" s="22">
        <f t="shared" si="74"/>
        <v>0</v>
      </c>
      <c r="P91" s="22">
        <f t="shared" si="74"/>
        <v>0</v>
      </c>
      <c r="Q91" s="22">
        <f t="shared" si="74"/>
        <v>0</v>
      </c>
      <c r="R91" s="22">
        <f t="shared" si="74"/>
        <v>0</v>
      </c>
      <c r="S91" s="22">
        <f t="shared" si="74"/>
        <v>0</v>
      </c>
      <c r="T91" s="22">
        <f t="shared" si="74"/>
        <v>0</v>
      </c>
      <c r="U91" s="22">
        <f t="shared" si="74"/>
        <v>0</v>
      </c>
      <c r="V91" s="22">
        <f t="shared" ref="V91:X91" si="75">IF(V3="Collecteur",V80*V14*0.02%*1.5,V80*V14*0.02%)</f>
        <v>0</v>
      </c>
      <c r="W91" s="22">
        <f t="shared" si="75"/>
        <v>0</v>
      </c>
      <c r="X91" s="22">
        <f t="shared" si="75"/>
        <v>0</v>
      </c>
      <c r="Y91" s="22">
        <f t="shared" si="51"/>
        <v>105602.28700131775</v>
      </c>
      <c r="Z91" s="42" t="s">
        <v>194</v>
      </c>
    </row>
    <row r="92" spans="2:26" ht="15" customHeight="1" outlineLevel="1" x14ac:dyDescent="0.3">
      <c r="B92" s="35" t="s">
        <v>186</v>
      </c>
      <c r="C92" s="9" t="s">
        <v>72</v>
      </c>
      <c r="D92" s="9" t="s">
        <v>73</v>
      </c>
      <c r="E92" s="22">
        <f t="shared" ref="E92:U92" si="76">E29*E78*1%</f>
        <v>321321.07829549763</v>
      </c>
      <c r="F92" s="22">
        <f t="shared" si="76"/>
        <v>0</v>
      </c>
      <c r="G92" s="22">
        <f t="shared" si="76"/>
        <v>0</v>
      </c>
      <c r="H92" s="22">
        <f t="shared" si="76"/>
        <v>0</v>
      </c>
      <c r="I92" s="22">
        <f t="shared" si="76"/>
        <v>0</v>
      </c>
      <c r="J92" s="22">
        <f t="shared" si="76"/>
        <v>0</v>
      </c>
      <c r="K92" s="22">
        <f t="shared" si="76"/>
        <v>0</v>
      </c>
      <c r="L92" s="22">
        <f t="shared" si="76"/>
        <v>0</v>
      </c>
      <c r="M92" s="22">
        <f t="shared" si="76"/>
        <v>0</v>
      </c>
      <c r="N92" s="22">
        <f t="shared" si="76"/>
        <v>0</v>
      </c>
      <c r="O92" s="22">
        <f t="shared" si="76"/>
        <v>0</v>
      </c>
      <c r="P92" s="22">
        <f t="shared" si="76"/>
        <v>0</v>
      </c>
      <c r="Q92" s="22">
        <f t="shared" si="76"/>
        <v>0</v>
      </c>
      <c r="R92" s="22">
        <f t="shared" si="76"/>
        <v>0</v>
      </c>
      <c r="S92" s="22">
        <f t="shared" si="76"/>
        <v>0</v>
      </c>
      <c r="T92" s="22">
        <f t="shared" si="76"/>
        <v>0</v>
      </c>
      <c r="U92" s="22">
        <f t="shared" si="76"/>
        <v>0</v>
      </c>
      <c r="V92" s="22">
        <f t="shared" ref="V92:X92" si="77">V29*V78*1%</f>
        <v>0</v>
      </c>
      <c r="W92" s="22">
        <f t="shared" si="77"/>
        <v>0</v>
      </c>
      <c r="X92" s="22">
        <f t="shared" si="77"/>
        <v>0</v>
      </c>
      <c r="Y92" s="22">
        <f t="shared" si="51"/>
        <v>321321.07829549763</v>
      </c>
      <c r="Z92" s="42" t="s">
        <v>192</v>
      </c>
    </row>
    <row r="93" spans="2:26" ht="15" customHeight="1" outlineLevel="1" x14ac:dyDescent="0.3">
      <c r="B93" s="35" t="s">
        <v>186</v>
      </c>
      <c r="C93" s="9" t="s">
        <v>72</v>
      </c>
      <c r="D93" s="9" t="s">
        <v>74</v>
      </c>
      <c r="E93" s="22">
        <f t="shared" ref="E93:U93" si="78">E29*E79*0.66%</f>
        <v>48717.062693584725</v>
      </c>
      <c r="F93" s="22">
        <f t="shared" si="78"/>
        <v>0</v>
      </c>
      <c r="G93" s="22">
        <f t="shared" si="78"/>
        <v>0</v>
      </c>
      <c r="H93" s="22">
        <f t="shared" si="78"/>
        <v>0</v>
      </c>
      <c r="I93" s="22">
        <f t="shared" si="78"/>
        <v>0</v>
      </c>
      <c r="J93" s="22">
        <f t="shared" si="78"/>
        <v>0</v>
      </c>
      <c r="K93" s="22">
        <f t="shared" si="78"/>
        <v>0</v>
      </c>
      <c r="L93" s="22">
        <f t="shared" si="78"/>
        <v>0</v>
      </c>
      <c r="M93" s="22">
        <f t="shared" si="78"/>
        <v>0</v>
      </c>
      <c r="N93" s="22">
        <f t="shared" si="78"/>
        <v>0</v>
      </c>
      <c r="O93" s="22">
        <f t="shared" si="78"/>
        <v>0</v>
      </c>
      <c r="P93" s="22">
        <f t="shared" si="78"/>
        <v>0</v>
      </c>
      <c r="Q93" s="22">
        <f t="shared" si="78"/>
        <v>0</v>
      </c>
      <c r="R93" s="22">
        <f t="shared" si="78"/>
        <v>0</v>
      </c>
      <c r="S93" s="22">
        <f t="shared" si="78"/>
        <v>0</v>
      </c>
      <c r="T93" s="22">
        <f t="shared" si="78"/>
        <v>0</v>
      </c>
      <c r="U93" s="22">
        <f t="shared" si="78"/>
        <v>0</v>
      </c>
      <c r="V93" s="22">
        <f t="shared" ref="V93:X93" si="79">V29*V79*0.66%</f>
        <v>0</v>
      </c>
      <c r="W93" s="22">
        <f t="shared" si="79"/>
        <v>0</v>
      </c>
      <c r="X93" s="22">
        <f t="shared" si="79"/>
        <v>0</v>
      </c>
      <c r="Y93" s="22">
        <f t="shared" si="51"/>
        <v>48717.062693584725</v>
      </c>
      <c r="Z93" s="42" t="s">
        <v>193</v>
      </c>
    </row>
    <row r="94" spans="2:26" ht="15" customHeight="1" outlineLevel="1" x14ac:dyDescent="0.3">
      <c r="B94" s="35" t="s">
        <v>186</v>
      </c>
      <c r="C94" s="9" t="s">
        <v>72</v>
      </c>
      <c r="D94" s="9" t="s">
        <v>75</v>
      </c>
      <c r="E94" s="22">
        <f t="shared" ref="E94:U94" si="80">E29*E80*0.33%</f>
        <v>38534.680689423163</v>
      </c>
      <c r="F94" s="22">
        <f t="shared" si="80"/>
        <v>0</v>
      </c>
      <c r="G94" s="22">
        <f t="shared" si="80"/>
        <v>0</v>
      </c>
      <c r="H94" s="22">
        <f t="shared" si="80"/>
        <v>0</v>
      </c>
      <c r="I94" s="22">
        <f t="shared" si="80"/>
        <v>0</v>
      </c>
      <c r="J94" s="22">
        <f t="shared" si="80"/>
        <v>0</v>
      </c>
      <c r="K94" s="22">
        <f t="shared" si="80"/>
        <v>0</v>
      </c>
      <c r="L94" s="22">
        <f t="shared" si="80"/>
        <v>0</v>
      </c>
      <c r="M94" s="22">
        <f t="shared" si="80"/>
        <v>0</v>
      </c>
      <c r="N94" s="22">
        <f t="shared" si="80"/>
        <v>0</v>
      </c>
      <c r="O94" s="22">
        <f t="shared" si="80"/>
        <v>0</v>
      </c>
      <c r="P94" s="22">
        <f t="shared" si="80"/>
        <v>0</v>
      </c>
      <c r="Q94" s="22">
        <f t="shared" si="80"/>
        <v>0</v>
      </c>
      <c r="R94" s="22">
        <f t="shared" si="80"/>
        <v>0</v>
      </c>
      <c r="S94" s="22">
        <f t="shared" si="80"/>
        <v>0</v>
      </c>
      <c r="T94" s="22">
        <f t="shared" si="80"/>
        <v>0</v>
      </c>
      <c r="U94" s="22">
        <f t="shared" si="80"/>
        <v>0</v>
      </c>
      <c r="V94" s="22">
        <f t="shared" ref="V94:X94" si="81">V29*V80*0.33%</f>
        <v>0</v>
      </c>
      <c r="W94" s="22">
        <f t="shared" si="81"/>
        <v>0</v>
      </c>
      <c r="X94" s="22">
        <f t="shared" si="81"/>
        <v>0</v>
      </c>
      <c r="Y94" s="22">
        <f t="shared" si="51"/>
        <v>38534.680689423163</v>
      </c>
      <c r="Z94" s="42" t="s">
        <v>194</v>
      </c>
    </row>
    <row r="95" spans="2:26" ht="15" customHeight="1" outlineLevel="1" x14ac:dyDescent="0.3">
      <c r="B95" s="35" t="s">
        <v>186</v>
      </c>
      <c r="C95" s="9" t="s">
        <v>76</v>
      </c>
      <c r="D95" s="9" t="s">
        <v>77</v>
      </c>
      <c r="E95" s="22">
        <f t="shared" ref="E95:U97" si="82">E78*E31</f>
        <v>0</v>
      </c>
      <c r="F95" s="22">
        <f t="shared" si="82"/>
        <v>0</v>
      </c>
      <c r="G95" s="22">
        <f t="shared" si="82"/>
        <v>0</v>
      </c>
      <c r="H95" s="22">
        <f t="shared" si="82"/>
        <v>0</v>
      </c>
      <c r="I95" s="22">
        <f t="shared" si="82"/>
        <v>0</v>
      </c>
      <c r="J95" s="22">
        <f t="shared" si="82"/>
        <v>0</v>
      </c>
      <c r="K95" s="22">
        <f t="shared" si="82"/>
        <v>0</v>
      </c>
      <c r="L95" s="22">
        <f t="shared" si="82"/>
        <v>0</v>
      </c>
      <c r="M95" s="22">
        <f t="shared" si="82"/>
        <v>0</v>
      </c>
      <c r="N95" s="22">
        <f t="shared" si="82"/>
        <v>0</v>
      </c>
      <c r="O95" s="22">
        <f t="shared" si="82"/>
        <v>0</v>
      </c>
      <c r="P95" s="22">
        <f t="shared" si="82"/>
        <v>0</v>
      </c>
      <c r="Q95" s="22">
        <f t="shared" si="82"/>
        <v>0</v>
      </c>
      <c r="R95" s="22">
        <f t="shared" si="82"/>
        <v>0</v>
      </c>
      <c r="S95" s="22">
        <f t="shared" si="82"/>
        <v>0</v>
      </c>
      <c r="T95" s="22">
        <f t="shared" si="82"/>
        <v>0</v>
      </c>
      <c r="U95" s="22">
        <f t="shared" si="82"/>
        <v>0</v>
      </c>
      <c r="V95" s="22">
        <f t="shared" ref="V95:X95" si="83">V78*V31</f>
        <v>0</v>
      </c>
      <c r="W95" s="22">
        <f t="shared" si="83"/>
        <v>0</v>
      </c>
      <c r="X95" s="22">
        <f t="shared" si="83"/>
        <v>0</v>
      </c>
      <c r="Y95" s="22">
        <f t="shared" si="51"/>
        <v>0</v>
      </c>
      <c r="Z95" s="42" t="s">
        <v>192</v>
      </c>
    </row>
    <row r="96" spans="2:26" ht="15" customHeight="1" outlineLevel="1" x14ac:dyDescent="0.3">
      <c r="B96" s="35" t="s">
        <v>186</v>
      </c>
      <c r="C96" s="9" t="s">
        <v>76</v>
      </c>
      <c r="D96" s="9" t="s">
        <v>78</v>
      </c>
      <c r="E96" s="22">
        <f t="shared" si="82"/>
        <v>0</v>
      </c>
      <c r="F96" s="22">
        <f t="shared" si="82"/>
        <v>0</v>
      </c>
      <c r="G96" s="22">
        <f t="shared" si="82"/>
        <v>0</v>
      </c>
      <c r="H96" s="22">
        <f t="shared" si="82"/>
        <v>0</v>
      </c>
      <c r="I96" s="22">
        <f t="shared" si="82"/>
        <v>0</v>
      </c>
      <c r="J96" s="22">
        <f t="shared" si="82"/>
        <v>0</v>
      </c>
      <c r="K96" s="22">
        <f t="shared" si="82"/>
        <v>0</v>
      </c>
      <c r="L96" s="22">
        <f t="shared" si="82"/>
        <v>0</v>
      </c>
      <c r="M96" s="22">
        <f t="shared" si="82"/>
        <v>0</v>
      </c>
      <c r="N96" s="22">
        <f t="shared" si="82"/>
        <v>0</v>
      </c>
      <c r="O96" s="22">
        <f t="shared" si="82"/>
        <v>0</v>
      </c>
      <c r="P96" s="22">
        <f t="shared" si="82"/>
        <v>0</v>
      </c>
      <c r="Q96" s="22">
        <f t="shared" si="82"/>
        <v>0</v>
      </c>
      <c r="R96" s="22">
        <f t="shared" si="82"/>
        <v>0</v>
      </c>
      <c r="S96" s="22">
        <f t="shared" si="82"/>
        <v>0</v>
      </c>
      <c r="T96" s="22">
        <f t="shared" si="82"/>
        <v>0</v>
      </c>
      <c r="U96" s="22">
        <f t="shared" si="82"/>
        <v>0</v>
      </c>
      <c r="V96" s="22">
        <f t="shared" ref="V96:X96" si="84">V79*V32</f>
        <v>0</v>
      </c>
      <c r="W96" s="22">
        <f t="shared" si="84"/>
        <v>0</v>
      </c>
      <c r="X96" s="22">
        <f t="shared" si="84"/>
        <v>0</v>
      </c>
      <c r="Y96" s="22">
        <f t="shared" si="51"/>
        <v>0</v>
      </c>
      <c r="Z96" s="42" t="s">
        <v>193</v>
      </c>
    </row>
    <row r="97" spans="2:26" ht="15" customHeight="1" outlineLevel="1" x14ac:dyDescent="0.3">
      <c r="B97" s="35" t="s">
        <v>186</v>
      </c>
      <c r="C97" s="9" t="s">
        <v>76</v>
      </c>
      <c r="D97" s="9" t="s">
        <v>79</v>
      </c>
      <c r="E97" s="22">
        <f t="shared" si="82"/>
        <v>203081.32115638029</v>
      </c>
      <c r="F97" s="22">
        <f t="shared" si="82"/>
        <v>0</v>
      </c>
      <c r="G97" s="22">
        <f t="shared" si="82"/>
        <v>0</v>
      </c>
      <c r="H97" s="22">
        <f t="shared" si="82"/>
        <v>0</v>
      </c>
      <c r="I97" s="22">
        <f t="shared" si="82"/>
        <v>0</v>
      </c>
      <c r="J97" s="22">
        <f t="shared" si="82"/>
        <v>0</v>
      </c>
      <c r="K97" s="22">
        <f t="shared" si="82"/>
        <v>0</v>
      </c>
      <c r="L97" s="22">
        <f t="shared" si="82"/>
        <v>0</v>
      </c>
      <c r="M97" s="22">
        <f t="shared" si="82"/>
        <v>0</v>
      </c>
      <c r="N97" s="22">
        <f t="shared" si="82"/>
        <v>0</v>
      </c>
      <c r="O97" s="22">
        <f t="shared" si="82"/>
        <v>0</v>
      </c>
      <c r="P97" s="22">
        <f t="shared" si="82"/>
        <v>0</v>
      </c>
      <c r="Q97" s="22">
        <f t="shared" si="82"/>
        <v>0</v>
      </c>
      <c r="R97" s="22">
        <f t="shared" si="82"/>
        <v>0</v>
      </c>
      <c r="S97" s="22">
        <f t="shared" si="82"/>
        <v>0</v>
      </c>
      <c r="T97" s="22">
        <f t="shared" si="82"/>
        <v>0</v>
      </c>
      <c r="U97" s="22">
        <f t="shared" si="82"/>
        <v>0</v>
      </c>
      <c r="V97" s="22">
        <f t="shared" ref="V97:X97" si="85">V80*V33</f>
        <v>0</v>
      </c>
      <c r="W97" s="22">
        <f t="shared" si="85"/>
        <v>0</v>
      </c>
      <c r="X97" s="22">
        <f t="shared" si="85"/>
        <v>0</v>
      </c>
      <c r="Y97" s="22">
        <f t="shared" si="51"/>
        <v>203081.32115638029</v>
      </c>
      <c r="Z97" s="42" t="s">
        <v>194</v>
      </c>
    </row>
    <row r="98" spans="2:26" ht="15" customHeight="1" outlineLevel="1" x14ac:dyDescent="0.3">
      <c r="B98" s="35" t="s">
        <v>186</v>
      </c>
      <c r="C98" s="9" t="s">
        <v>80</v>
      </c>
      <c r="D98" s="9" t="s">
        <v>81</v>
      </c>
      <c r="E98" s="22">
        <f>IF($I$2="Oui",E78*0.1,0)</f>
        <v>139704.81665021635</v>
      </c>
      <c r="F98" s="22">
        <f t="shared" ref="F98:U100" si="86">IF($I$2="Oui",F78*0.1,0)</f>
        <v>0</v>
      </c>
      <c r="G98" s="22">
        <f t="shared" si="86"/>
        <v>0</v>
      </c>
      <c r="H98" s="22">
        <f t="shared" si="86"/>
        <v>0</v>
      </c>
      <c r="I98" s="22">
        <f t="shared" si="86"/>
        <v>0</v>
      </c>
      <c r="J98" s="22">
        <f t="shared" si="86"/>
        <v>0</v>
      </c>
      <c r="K98" s="22">
        <f t="shared" si="86"/>
        <v>0</v>
      </c>
      <c r="L98" s="22">
        <f t="shared" si="86"/>
        <v>0</v>
      </c>
      <c r="M98" s="22">
        <f t="shared" si="86"/>
        <v>0</v>
      </c>
      <c r="N98" s="22">
        <f t="shared" si="86"/>
        <v>0</v>
      </c>
      <c r="O98" s="22">
        <f t="shared" si="86"/>
        <v>0</v>
      </c>
      <c r="P98" s="22">
        <f t="shared" si="86"/>
        <v>0</v>
      </c>
      <c r="Q98" s="22">
        <f t="shared" si="86"/>
        <v>0</v>
      </c>
      <c r="R98" s="22">
        <f t="shared" si="86"/>
        <v>0</v>
      </c>
      <c r="S98" s="22">
        <f t="shared" si="86"/>
        <v>0</v>
      </c>
      <c r="T98" s="22">
        <f t="shared" si="86"/>
        <v>0</v>
      </c>
      <c r="U98" s="22">
        <f t="shared" si="86"/>
        <v>0</v>
      </c>
      <c r="V98" s="22">
        <f t="shared" ref="V98:X98" si="87">IF($I$2="Oui",V78*0.1,0)</f>
        <v>0</v>
      </c>
      <c r="W98" s="22">
        <f t="shared" si="87"/>
        <v>0</v>
      </c>
      <c r="X98" s="22">
        <f t="shared" si="87"/>
        <v>0</v>
      </c>
      <c r="Y98" s="22">
        <f t="shared" si="51"/>
        <v>139704.81665021635</v>
      </c>
      <c r="Z98" s="42" t="s">
        <v>192</v>
      </c>
    </row>
    <row r="99" spans="2:26" ht="15" customHeight="1" outlineLevel="1" x14ac:dyDescent="0.3">
      <c r="B99" s="35" t="s">
        <v>186</v>
      </c>
      <c r="C99" s="9" t="s">
        <v>80</v>
      </c>
      <c r="D99" s="9" t="s">
        <v>82</v>
      </c>
      <c r="E99" s="22">
        <f>IF($I$2="Oui",E79*0.1,0)</f>
        <v>32092.926675615763</v>
      </c>
      <c r="F99" s="22">
        <f t="shared" si="86"/>
        <v>0</v>
      </c>
      <c r="G99" s="22">
        <f t="shared" si="86"/>
        <v>0</v>
      </c>
      <c r="H99" s="22">
        <f t="shared" si="86"/>
        <v>0</v>
      </c>
      <c r="I99" s="22">
        <f t="shared" si="86"/>
        <v>0</v>
      </c>
      <c r="J99" s="22">
        <f t="shared" si="86"/>
        <v>0</v>
      </c>
      <c r="K99" s="22">
        <f t="shared" si="86"/>
        <v>0</v>
      </c>
      <c r="L99" s="22">
        <f t="shared" si="86"/>
        <v>0</v>
      </c>
      <c r="M99" s="22">
        <f t="shared" si="86"/>
        <v>0</v>
      </c>
      <c r="N99" s="22">
        <f t="shared" si="86"/>
        <v>0</v>
      </c>
      <c r="O99" s="22">
        <f t="shared" si="86"/>
        <v>0</v>
      </c>
      <c r="P99" s="22">
        <f t="shared" si="86"/>
        <v>0</v>
      </c>
      <c r="Q99" s="22">
        <f t="shared" si="86"/>
        <v>0</v>
      </c>
      <c r="R99" s="22">
        <f t="shared" si="86"/>
        <v>0</v>
      </c>
      <c r="S99" s="22">
        <f t="shared" si="86"/>
        <v>0</v>
      </c>
      <c r="T99" s="22">
        <f t="shared" si="86"/>
        <v>0</v>
      </c>
      <c r="U99" s="22">
        <f t="shared" si="86"/>
        <v>0</v>
      </c>
      <c r="V99" s="22">
        <f t="shared" ref="V99:X99" si="88">IF($I$2="Oui",V79*0.1,0)</f>
        <v>0</v>
      </c>
      <c r="W99" s="22">
        <f t="shared" si="88"/>
        <v>0</v>
      </c>
      <c r="X99" s="22">
        <f t="shared" si="88"/>
        <v>0</v>
      </c>
      <c r="Y99" s="22">
        <f t="shared" si="51"/>
        <v>32092.926675615763</v>
      </c>
      <c r="Z99" s="42" t="s">
        <v>193</v>
      </c>
    </row>
    <row r="100" spans="2:26" ht="15" customHeight="1" outlineLevel="1" x14ac:dyDescent="0.3">
      <c r="B100" s="35" t="s">
        <v>186</v>
      </c>
      <c r="C100" s="9" t="s">
        <v>80</v>
      </c>
      <c r="D100" s="9" t="s">
        <v>83</v>
      </c>
      <c r="E100" s="22">
        <f>IF($I$2="Oui",E80*0.1,0)</f>
        <v>50770.330289095073</v>
      </c>
      <c r="F100" s="22">
        <f t="shared" si="86"/>
        <v>0</v>
      </c>
      <c r="G100" s="22">
        <f t="shared" si="86"/>
        <v>0</v>
      </c>
      <c r="H100" s="22">
        <f t="shared" si="86"/>
        <v>0</v>
      </c>
      <c r="I100" s="22">
        <f t="shared" si="86"/>
        <v>0</v>
      </c>
      <c r="J100" s="22">
        <f t="shared" si="86"/>
        <v>0</v>
      </c>
      <c r="K100" s="22">
        <f t="shared" si="86"/>
        <v>0</v>
      </c>
      <c r="L100" s="22">
        <f t="shared" si="86"/>
        <v>0</v>
      </c>
      <c r="M100" s="22">
        <f t="shared" si="86"/>
        <v>0</v>
      </c>
      <c r="N100" s="22">
        <f t="shared" si="86"/>
        <v>0</v>
      </c>
      <c r="O100" s="22">
        <f t="shared" si="86"/>
        <v>0</v>
      </c>
      <c r="P100" s="22">
        <f t="shared" si="86"/>
        <v>0</v>
      </c>
      <c r="Q100" s="22">
        <f t="shared" si="86"/>
        <v>0</v>
      </c>
      <c r="R100" s="22">
        <f t="shared" si="86"/>
        <v>0</v>
      </c>
      <c r="S100" s="22">
        <f t="shared" si="86"/>
        <v>0</v>
      </c>
      <c r="T100" s="22">
        <f t="shared" si="86"/>
        <v>0</v>
      </c>
      <c r="U100" s="22">
        <f t="shared" si="86"/>
        <v>0</v>
      </c>
      <c r="V100" s="22">
        <f t="shared" ref="V100:X100" si="89">IF($I$2="Oui",V80*0.1,0)</f>
        <v>0</v>
      </c>
      <c r="W100" s="22">
        <f t="shared" si="89"/>
        <v>0</v>
      </c>
      <c r="X100" s="22">
        <f t="shared" si="89"/>
        <v>0</v>
      </c>
      <c r="Y100" s="22">
        <f t="shared" si="51"/>
        <v>50770.330289095073</v>
      </c>
      <c r="Z100" s="42" t="s">
        <v>194</v>
      </c>
    </row>
    <row r="101" spans="2:26" ht="15" customHeight="1" outlineLevel="1" x14ac:dyDescent="0.3">
      <c r="B101" s="35" t="s">
        <v>186</v>
      </c>
      <c r="C101" s="9" t="s">
        <v>84</v>
      </c>
      <c r="D101" s="9" t="s">
        <v>85</v>
      </c>
      <c r="E101" s="22">
        <f>IF($I$3="Oui",E78*0.02,0)</f>
        <v>27940.963330043272</v>
      </c>
      <c r="F101" s="22">
        <f t="shared" ref="F101:U103" si="90">IF($I$3="Oui",F78*0.02,0)</f>
        <v>0</v>
      </c>
      <c r="G101" s="22">
        <f t="shared" si="90"/>
        <v>0</v>
      </c>
      <c r="H101" s="22">
        <f t="shared" si="90"/>
        <v>0</v>
      </c>
      <c r="I101" s="22">
        <f t="shared" si="90"/>
        <v>0</v>
      </c>
      <c r="J101" s="22">
        <f t="shared" si="90"/>
        <v>0</v>
      </c>
      <c r="K101" s="22">
        <f t="shared" si="90"/>
        <v>0</v>
      </c>
      <c r="L101" s="22">
        <f t="shared" si="90"/>
        <v>0</v>
      </c>
      <c r="M101" s="22">
        <f t="shared" si="90"/>
        <v>0</v>
      </c>
      <c r="N101" s="22">
        <f t="shared" si="90"/>
        <v>0</v>
      </c>
      <c r="O101" s="22">
        <f t="shared" si="90"/>
        <v>0</v>
      </c>
      <c r="P101" s="22">
        <f t="shared" si="90"/>
        <v>0</v>
      </c>
      <c r="Q101" s="22">
        <f t="shared" si="90"/>
        <v>0</v>
      </c>
      <c r="R101" s="22">
        <f t="shared" si="90"/>
        <v>0</v>
      </c>
      <c r="S101" s="22">
        <f t="shared" si="90"/>
        <v>0</v>
      </c>
      <c r="T101" s="22">
        <f t="shared" si="90"/>
        <v>0</v>
      </c>
      <c r="U101" s="22">
        <f t="shared" si="90"/>
        <v>0</v>
      </c>
      <c r="V101" s="22">
        <f t="shared" ref="V101:X101" si="91">IF($I$3="Oui",V78*0.02,0)</f>
        <v>0</v>
      </c>
      <c r="W101" s="22">
        <f t="shared" si="91"/>
        <v>0</v>
      </c>
      <c r="X101" s="22">
        <f t="shared" si="91"/>
        <v>0</v>
      </c>
      <c r="Y101" s="22">
        <f t="shared" si="51"/>
        <v>27940.963330043272</v>
      </c>
      <c r="Z101" s="42" t="s">
        <v>192</v>
      </c>
    </row>
    <row r="102" spans="2:26" ht="15" customHeight="1" outlineLevel="1" x14ac:dyDescent="0.3">
      <c r="B102" s="35" t="s">
        <v>186</v>
      </c>
      <c r="C102" s="9" t="s">
        <v>84</v>
      </c>
      <c r="D102" s="9" t="s">
        <v>86</v>
      </c>
      <c r="E102" s="22">
        <f>IF($I$3="Oui",E79*0.02,0)</f>
        <v>6418.5853351231526</v>
      </c>
      <c r="F102" s="22">
        <f t="shared" si="90"/>
        <v>0</v>
      </c>
      <c r="G102" s="22">
        <f t="shared" si="90"/>
        <v>0</v>
      </c>
      <c r="H102" s="22">
        <f t="shared" si="90"/>
        <v>0</v>
      </c>
      <c r="I102" s="22">
        <f t="shared" si="90"/>
        <v>0</v>
      </c>
      <c r="J102" s="22">
        <f t="shared" si="90"/>
        <v>0</v>
      </c>
      <c r="K102" s="22">
        <f t="shared" si="90"/>
        <v>0</v>
      </c>
      <c r="L102" s="22">
        <f t="shared" si="90"/>
        <v>0</v>
      </c>
      <c r="M102" s="22">
        <f t="shared" si="90"/>
        <v>0</v>
      </c>
      <c r="N102" s="22">
        <f t="shared" si="90"/>
        <v>0</v>
      </c>
      <c r="O102" s="22">
        <f t="shared" si="90"/>
        <v>0</v>
      </c>
      <c r="P102" s="22">
        <f t="shared" si="90"/>
        <v>0</v>
      </c>
      <c r="Q102" s="22">
        <f t="shared" si="90"/>
        <v>0</v>
      </c>
      <c r="R102" s="22">
        <f t="shared" si="90"/>
        <v>0</v>
      </c>
      <c r="S102" s="22">
        <f t="shared" si="90"/>
        <v>0</v>
      </c>
      <c r="T102" s="22">
        <f t="shared" si="90"/>
        <v>0</v>
      </c>
      <c r="U102" s="22">
        <f t="shared" si="90"/>
        <v>0</v>
      </c>
      <c r="V102" s="22">
        <f t="shared" ref="V102:X102" si="92">IF($I$3="Oui",V79*0.02,0)</f>
        <v>0</v>
      </c>
      <c r="W102" s="22">
        <f t="shared" si="92"/>
        <v>0</v>
      </c>
      <c r="X102" s="22">
        <f t="shared" si="92"/>
        <v>0</v>
      </c>
      <c r="Y102" s="22">
        <f t="shared" si="51"/>
        <v>6418.5853351231526</v>
      </c>
      <c r="Z102" s="42" t="s">
        <v>193</v>
      </c>
    </row>
    <row r="103" spans="2:26" ht="15" customHeight="1" outlineLevel="1" x14ac:dyDescent="0.3">
      <c r="B103" s="35" t="s">
        <v>186</v>
      </c>
      <c r="C103" s="9" t="s">
        <v>84</v>
      </c>
      <c r="D103" s="9" t="s">
        <v>87</v>
      </c>
      <c r="E103" s="22">
        <f>IF($I$3="Oui",E80*0.02,0)</f>
        <v>10154.066057819015</v>
      </c>
      <c r="F103" s="22">
        <f t="shared" si="90"/>
        <v>0</v>
      </c>
      <c r="G103" s="22">
        <f t="shared" si="90"/>
        <v>0</v>
      </c>
      <c r="H103" s="22">
        <f t="shared" si="90"/>
        <v>0</v>
      </c>
      <c r="I103" s="22">
        <f t="shared" si="90"/>
        <v>0</v>
      </c>
      <c r="J103" s="22">
        <f t="shared" si="90"/>
        <v>0</v>
      </c>
      <c r="K103" s="22">
        <f t="shared" si="90"/>
        <v>0</v>
      </c>
      <c r="L103" s="22">
        <f t="shared" si="90"/>
        <v>0</v>
      </c>
      <c r="M103" s="22">
        <f t="shared" si="90"/>
        <v>0</v>
      </c>
      <c r="N103" s="22">
        <f t="shared" si="90"/>
        <v>0</v>
      </c>
      <c r="O103" s="22">
        <f t="shared" si="90"/>
        <v>0</v>
      </c>
      <c r="P103" s="22">
        <f t="shared" si="90"/>
        <v>0</v>
      </c>
      <c r="Q103" s="22">
        <f t="shared" si="90"/>
        <v>0</v>
      </c>
      <c r="R103" s="22">
        <f t="shared" si="90"/>
        <v>0</v>
      </c>
      <c r="S103" s="22">
        <f t="shared" si="90"/>
        <v>0</v>
      </c>
      <c r="T103" s="22">
        <f t="shared" si="90"/>
        <v>0</v>
      </c>
      <c r="U103" s="22">
        <f t="shared" si="90"/>
        <v>0</v>
      </c>
      <c r="V103" s="22">
        <f t="shared" ref="V103:X103" si="93">IF($I$3="Oui",V80*0.02,0)</f>
        <v>0</v>
      </c>
      <c r="W103" s="22">
        <f t="shared" si="93"/>
        <v>0</v>
      </c>
      <c r="X103" s="22">
        <f t="shared" si="93"/>
        <v>0</v>
      </c>
      <c r="Y103" s="22">
        <f t="shared" si="51"/>
        <v>10154.066057819015</v>
      </c>
      <c r="Z103" s="42" t="s">
        <v>194</v>
      </c>
    </row>
    <row r="104" spans="2:26" ht="15" customHeight="1" outlineLevel="1" x14ac:dyDescent="0.3">
      <c r="B104" s="35" t="s">
        <v>186</v>
      </c>
      <c r="C104" s="9" t="s">
        <v>88</v>
      </c>
      <c r="D104" s="9" t="s">
        <v>89</v>
      </c>
      <c r="E104" s="22">
        <f>IF($E$3="Collecteur",E78*0.25*(1+$T$5),0)</f>
        <v>0</v>
      </c>
      <c r="F104" s="22">
        <f t="shared" ref="F104:U106" si="94">IF($E$3="Collecteur",F78*0.25*(1+$T$5),0)</f>
        <v>0</v>
      </c>
      <c r="G104" s="22">
        <f t="shared" si="94"/>
        <v>0</v>
      </c>
      <c r="H104" s="22">
        <f t="shared" si="94"/>
        <v>0</v>
      </c>
      <c r="I104" s="22">
        <f t="shared" si="94"/>
        <v>0</v>
      </c>
      <c r="J104" s="22">
        <f t="shared" si="94"/>
        <v>0</v>
      </c>
      <c r="K104" s="22">
        <f t="shared" si="94"/>
        <v>0</v>
      </c>
      <c r="L104" s="22">
        <f t="shared" si="94"/>
        <v>0</v>
      </c>
      <c r="M104" s="22">
        <f t="shared" si="94"/>
        <v>0</v>
      </c>
      <c r="N104" s="22">
        <f t="shared" si="94"/>
        <v>0</v>
      </c>
      <c r="O104" s="22">
        <f t="shared" si="94"/>
        <v>0</v>
      </c>
      <c r="P104" s="22">
        <f t="shared" si="94"/>
        <v>0</v>
      </c>
      <c r="Q104" s="22">
        <f t="shared" si="94"/>
        <v>0</v>
      </c>
      <c r="R104" s="22">
        <f t="shared" si="94"/>
        <v>0</v>
      </c>
      <c r="S104" s="22">
        <f t="shared" si="94"/>
        <v>0</v>
      </c>
      <c r="T104" s="22">
        <f t="shared" si="94"/>
        <v>0</v>
      </c>
      <c r="U104" s="22">
        <f t="shared" si="94"/>
        <v>0</v>
      </c>
      <c r="V104" s="22">
        <f t="shared" ref="V104:X104" si="95">IF($E$3="Collecteur",V78*0.25*(1+$T$5),0)</f>
        <v>0</v>
      </c>
      <c r="W104" s="22">
        <f t="shared" si="95"/>
        <v>0</v>
      </c>
      <c r="X104" s="22">
        <f t="shared" si="95"/>
        <v>0</v>
      </c>
      <c r="Y104" s="22">
        <f t="shared" si="51"/>
        <v>0</v>
      </c>
      <c r="Z104" s="42" t="s">
        <v>192</v>
      </c>
    </row>
    <row r="105" spans="2:26" ht="15" customHeight="1" outlineLevel="1" x14ac:dyDescent="0.3">
      <c r="B105" s="35" t="s">
        <v>186</v>
      </c>
      <c r="C105" s="9" t="s">
        <v>88</v>
      </c>
      <c r="D105" s="9" t="s">
        <v>90</v>
      </c>
      <c r="E105" s="22">
        <f>IF($E$3="Collecteur",E79*0.25*(1+$T$5),0)</f>
        <v>0</v>
      </c>
      <c r="F105" s="22">
        <f t="shared" si="94"/>
        <v>0</v>
      </c>
      <c r="G105" s="22">
        <f t="shared" si="94"/>
        <v>0</v>
      </c>
      <c r="H105" s="22">
        <f t="shared" si="94"/>
        <v>0</v>
      </c>
      <c r="I105" s="22">
        <f t="shared" si="94"/>
        <v>0</v>
      </c>
      <c r="J105" s="22">
        <f t="shared" si="94"/>
        <v>0</v>
      </c>
      <c r="K105" s="22">
        <f t="shared" si="94"/>
        <v>0</v>
      </c>
      <c r="L105" s="22">
        <f t="shared" si="94"/>
        <v>0</v>
      </c>
      <c r="M105" s="22">
        <f t="shared" si="94"/>
        <v>0</v>
      </c>
      <c r="N105" s="22">
        <f t="shared" si="94"/>
        <v>0</v>
      </c>
      <c r="O105" s="22">
        <f t="shared" si="94"/>
        <v>0</v>
      </c>
      <c r="P105" s="22">
        <f t="shared" si="94"/>
        <v>0</v>
      </c>
      <c r="Q105" s="22">
        <f t="shared" si="94"/>
        <v>0</v>
      </c>
      <c r="R105" s="22">
        <f t="shared" si="94"/>
        <v>0</v>
      </c>
      <c r="S105" s="22">
        <f t="shared" si="94"/>
        <v>0</v>
      </c>
      <c r="T105" s="22">
        <f t="shared" si="94"/>
        <v>0</v>
      </c>
      <c r="U105" s="22">
        <f t="shared" si="94"/>
        <v>0</v>
      </c>
      <c r="V105" s="22">
        <f t="shared" ref="V105:X105" si="96">IF($E$3="Collecteur",V79*0.25*(1+$T$5),0)</f>
        <v>0</v>
      </c>
      <c r="W105" s="22">
        <f t="shared" si="96"/>
        <v>0</v>
      </c>
      <c r="X105" s="22">
        <f t="shared" si="96"/>
        <v>0</v>
      </c>
      <c r="Y105" s="22">
        <f t="shared" si="51"/>
        <v>0</v>
      </c>
      <c r="Z105" s="42" t="s">
        <v>193</v>
      </c>
    </row>
    <row r="106" spans="2:26" ht="15" customHeight="1" outlineLevel="1" x14ac:dyDescent="0.3">
      <c r="B106" s="35" t="s">
        <v>186</v>
      </c>
      <c r="C106" s="9" t="s">
        <v>88</v>
      </c>
      <c r="D106" s="9" t="s">
        <v>91</v>
      </c>
      <c r="E106" s="22">
        <f>IF($E$3="Collecteur",E80*0.25*(1+$T$5),0)</f>
        <v>0</v>
      </c>
      <c r="F106" s="22">
        <f t="shared" si="94"/>
        <v>0</v>
      </c>
      <c r="G106" s="22">
        <f t="shared" si="94"/>
        <v>0</v>
      </c>
      <c r="H106" s="22">
        <f t="shared" si="94"/>
        <v>0</v>
      </c>
      <c r="I106" s="22">
        <f t="shared" si="94"/>
        <v>0</v>
      </c>
      <c r="J106" s="22">
        <f t="shared" si="94"/>
        <v>0</v>
      </c>
      <c r="K106" s="22">
        <f t="shared" si="94"/>
        <v>0</v>
      </c>
      <c r="L106" s="22">
        <f t="shared" si="94"/>
        <v>0</v>
      </c>
      <c r="M106" s="22">
        <f t="shared" si="94"/>
        <v>0</v>
      </c>
      <c r="N106" s="22">
        <f t="shared" si="94"/>
        <v>0</v>
      </c>
      <c r="O106" s="22">
        <f t="shared" si="94"/>
        <v>0</v>
      </c>
      <c r="P106" s="22">
        <f t="shared" si="94"/>
        <v>0</v>
      </c>
      <c r="Q106" s="22">
        <f t="shared" si="94"/>
        <v>0</v>
      </c>
      <c r="R106" s="22">
        <f t="shared" si="94"/>
        <v>0</v>
      </c>
      <c r="S106" s="22">
        <f t="shared" si="94"/>
        <v>0</v>
      </c>
      <c r="T106" s="22">
        <f t="shared" si="94"/>
        <v>0</v>
      </c>
      <c r="U106" s="22">
        <f t="shared" si="94"/>
        <v>0</v>
      </c>
      <c r="V106" s="22">
        <f t="shared" ref="V106:X106" si="97">IF($E$3="Collecteur",V80*0.25*(1+$T$5),0)</f>
        <v>0</v>
      </c>
      <c r="W106" s="22">
        <f t="shared" si="97"/>
        <v>0</v>
      </c>
      <c r="X106" s="22">
        <f t="shared" si="97"/>
        <v>0</v>
      </c>
      <c r="Y106" s="22">
        <f t="shared" si="51"/>
        <v>0</v>
      </c>
      <c r="Z106" s="42" t="s">
        <v>194</v>
      </c>
    </row>
    <row r="107" spans="2:26" ht="15" customHeight="1" outlineLevel="1" x14ac:dyDescent="0.3">
      <c r="B107" s="35" t="s">
        <v>186</v>
      </c>
      <c r="C107" s="9" t="s">
        <v>92</v>
      </c>
      <c r="D107" s="9" t="s">
        <v>93</v>
      </c>
      <c r="E107" s="22">
        <f>IF($I$4="Oui",E78*0.05,0)</f>
        <v>69852.408325108176</v>
      </c>
      <c r="F107" s="22">
        <f t="shared" ref="F107:U109" si="98">IF($I$4="Oui",F78*0.05,0)</f>
        <v>0</v>
      </c>
      <c r="G107" s="22">
        <f t="shared" si="98"/>
        <v>0</v>
      </c>
      <c r="H107" s="22">
        <f t="shared" si="98"/>
        <v>0</v>
      </c>
      <c r="I107" s="22">
        <f t="shared" si="98"/>
        <v>0</v>
      </c>
      <c r="J107" s="22">
        <f t="shared" si="98"/>
        <v>0</v>
      </c>
      <c r="K107" s="22">
        <f t="shared" si="98"/>
        <v>0</v>
      </c>
      <c r="L107" s="22">
        <f t="shared" si="98"/>
        <v>0</v>
      </c>
      <c r="M107" s="22">
        <f t="shared" si="98"/>
        <v>0</v>
      </c>
      <c r="N107" s="22">
        <f t="shared" si="98"/>
        <v>0</v>
      </c>
      <c r="O107" s="22">
        <f t="shared" si="98"/>
        <v>0</v>
      </c>
      <c r="P107" s="22">
        <f t="shared" si="98"/>
        <v>0</v>
      </c>
      <c r="Q107" s="22">
        <f t="shared" si="98"/>
        <v>0</v>
      </c>
      <c r="R107" s="22">
        <f t="shared" si="98"/>
        <v>0</v>
      </c>
      <c r="S107" s="22">
        <f t="shared" si="98"/>
        <v>0</v>
      </c>
      <c r="T107" s="22">
        <f t="shared" si="98"/>
        <v>0</v>
      </c>
      <c r="U107" s="22">
        <f t="shared" si="98"/>
        <v>0</v>
      </c>
      <c r="V107" s="22">
        <f t="shared" ref="V107:X107" si="99">IF($I$4="Oui",V78*0.05,0)</f>
        <v>0</v>
      </c>
      <c r="W107" s="22">
        <f t="shared" si="99"/>
        <v>0</v>
      </c>
      <c r="X107" s="22">
        <f t="shared" si="99"/>
        <v>0</v>
      </c>
      <c r="Y107" s="22">
        <f t="shared" si="51"/>
        <v>69852.408325108176</v>
      </c>
      <c r="Z107" s="42" t="s">
        <v>192</v>
      </c>
    </row>
    <row r="108" spans="2:26" ht="15" customHeight="1" outlineLevel="1" x14ac:dyDescent="0.3">
      <c r="B108" s="35" t="s">
        <v>186</v>
      </c>
      <c r="C108" s="9" t="s">
        <v>92</v>
      </c>
      <c r="D108" s="9" t="s">
        <v>94</v>
      </c>
      <c r="E108" s="22">
        <f>IF($I$4="Oui",E79*0.05,0)</f>
        <v>16046.463337807882</v>
      </c>
      <c r="F108" s="22">
        <f t="shared" si="98"/>
        <v>0</v>
      </c>
      <c r="G108" s="22">
        <f t="shared" si="98"/>
        <v>0</v>
      </c>
      <c r="H108" s="22">
        <f t="shared" si="98"/>
        <v>0</v>
      </c>
      <c r="I108" s="22">
        <f t="shared" si="98"/>
        <v>0</v>
      </c>
      <c r="J108" s="22">
        <f t="shared" si="98"/>
        <v>0</v>
      </c>
      <c r="K108" s="22">
        <f t="shared" si="98"/>
        <v>0</v>
      </c>
      <c r="L108" s="22">
        <f t="shared" si="98"/>
        <v>0</v>
      </c>
      <c r="M108" s="22">
        <f t="shared" si="98"/>
        <v>0</v>
      </c>
      <c r="N108" s="22">
        <f t="shared" si="98"/>
        <v>0</v>
      </c>
      <c r="O108" s="22">
        <f t="shared" si="98"/>
        <v>0</v>
      </c>
      <c r="P108" s="22">
        <f t="shared" si="98"/>
        <v>0</v>
      </c>
      <c r="Q108" s="22">
        <f t="shared" si="98"/>
        <v>0</v>
      </c>
      <c r="R108" s="22">
        <f t="shared" si="98"/>
        <v>0</v>
      </c>
      <c r="S108" s="22">
        <f t="shared" si="98"/>
        <v>0</v>
      </c>
      <c r="T108" s="22">
        <f t="shared" si="98"/>
        <v>0</v>
      </c>
      <c r="U108" s="22">
        <f t="shared" si="98"/>
        <v>0</v>
      </c>
      <c r="V108" s="22">
        <f t="shared" ref="V108:X108" si="100">IF($I$4="Oui",V79*0.05,0)</f>
        <v>0</v>
      </c>
      <c r="W108" s="22">
        <f t="shared" si="100"/>
        <v>0</v>
      </c>
      <c r="X108" s="22">
        <f t="shared" si="100"/>
        <v>0</v>
      </c>
      <c r="Y108" s="22">
        <f t="shared" si="51"/>
        <v>16046.463337807882</v>
      </c>
      <c r="Z108" s="42" t="s">
        <v>193</v>
      </c>
    </row>
    <row r="109" spans="2:26" ht="15" customHeight="1" outlineLevel="1" x14ac:dyDescent="0.3">
      <c r="B109" s="35" t="s">
        <v>186</v>
      </c>
      <c r="C109" s="9" t="s">
        <v>92</v>
      </c>
      <c r="D109" s="9" t="s">
        <v>95</v>
      </c>
      <c r="E109" s="22">
        <f>IF($I$4="Oui",E80*0.05,0)</f>
        <v>25385.165144547536</v>
      </c>
      <c r="F109" s="22">
        <f t="shared" si="98"/>
        <v>0</v>
      </c>
      <c r="G109" s="22">
        <f t="shared" si="98"/>
        <v>0</v>
      </c>
      <c r="H109" s="22">
        <f t="shared" si="98"/>
        <v>0</v>
      </c>
      <c r="I109" s="22">
        <f t="shared" si="98"/>
        <v>0</v>
      </c>
      <c r="J109" s="22">
        <f t="shared" si="98"/>
        <v>0</v>
      </c>
      <c r="K109" s="22">
        <f t="shared" si="98"/>
        <v>0</v>
      </c>
      <c r="L109" s="22">
        <f t="shared" si="98"/>
        <v>0</v>
      </c>
      <c r="M109" s="22">
        <f t="shared" si="98"/>
        <v>0</v>
      </c>
      <c r="N109" s="22">
        <f t="shared" si="98"/>
        <v>0</v>
      </c>
      <c r="O109" s="22">
        <f t="shared" si="98"/>
        <v>0</v>
      </c>
      <c r="P109" s="22">
        <f t="shared" si="98"/>
        <v>0</v>
      </c>
      <c r="Q109" s="22">
        <f t="shared" si="98"/>
        <v>0</v>
      </c>
      <c r="R109" s="22">
        <f t="shared" si="98"/>
        <v>0</v>
      </c>
      <c r="S109" s="22">
        <f t="shared" si="98"/>
        <v>0</v>
      </c>
      <c r="T109" s="22">
        <f t="shared" si="98"/>
        <v>0</v>
      </c>
      <c r="U109" s="22">
        <f t="shared" si="98"/>
        <v>0</v>
      </c>
      <c r="V109" s="22">
        <f t="shared" ref="V109:X109" si="101">IF($I$4="Oui",V80*0.05,0)</f>
        <v>0</v>
      </c>
      <c r="W109" s="22">
        <f t="shared" si="101"/>
        <v>0</v>
      </c>
      <c r="X109" s="22">
        <f t="shared" si="101"/>
        <v>0</v>
      </c>
      <c r="Y109" s="22">
        <f t="shared" si="51"/>
        <v>25385.165144547536</v>
      </c>
      <c r="Z109" s="42" t="s">
        <v>194</v>
      </c>
    </row>
    <row r="110" spans="2:26" ht="15" customHeight="1" outlineLevel="2" x14ac:dyDescent="0.3">
      <c r="B110" s="35" t="s">
        <v>186</v>
      </c>
      <c r="C110" s="13" t="s">
        <v>96</v>
      </c>
      <c r="D110" s="9" t="s">
        <v>97</v>
      </c>
      <c r="E110" s="22">
        <f>E78*$Y$41</f>
        <v>19111.618917749594</v>
      </c>
      <c r="F110" s="22">
        <f t="shared" ref="F110:U112" si="102">F78*$Y$41</f>
        <v>0</v>
      </c>
      <c r="G110" s="22">
        <f t="shared" si="102"/>
        <v>0</v>
      </c>
      <c r="H110" s="22">
        <f t="shared" si="102"/>
        <v>0</v>
      </c>
      <c r="I110" s="22">
        <f t="shared" si="102"/>
        <v>0</v>
      </c>
      <c r="J110" s="22">
        <f t="shared" si="102"/>
        <v>0</v>
      </c>
      <c r="K110" s="22">
        <f t="shared" si="102"/>
        <v>0</v>
      </c>
      <c r="L110" s="22">
        <f t="shared" si="102"/>
        <v>0</v>
      </c>
      <c r="M110" s="22">
        <f t="shared" si="102"/>
        <v>0</v>
      </c>
      <c r="N110" s="22">
        <f t="shared" si="102"/>
        <v>0</v>
      </c>
      <c r="O110" s="22">
        <f t="shared" si="102"/>
        <v>0</v>
      </c>
      <c r="P110" s="22">
        <f t="shared" si="102"/>
        <v>0</v>
      </c>
      <c r="Q110" s="22">
        <f t="shared" si="102"/>
        <v>0</v>
      </c>
      <c r="R110" s="22">
        <f t="shared" si="102"/>
        <v>0</v>
      </c>
      <c r="S110" s="22">
        <f t="shared" si="102"/>
        <v>0</v>
      </c>
      <c r="T110" s="22">
        <f t="shared" si="102"/>
        <v>0</v>
      </c>
      <c r="U110" s="22">
        <f t="shared" si="102"/>
        <v>0</v>
      </c>
      <c r="V110" s="22">
        <f t="shared" ref="V110:X110" si="103">V78*$Y$41</f>
        <v>0</v>
      </c>
      <c r="W110" s="22">
        <f t="shared" si="103"/>
        <v>0</v>
      </c>
      <c r="X110" s="22">
        <f t="shared" si="103"/>
        <v>0</v>
      </c>
      <c r="Y110" s="22">
        <f t="shared" si="51"/>
        <v>19111.618917749594</v>
      </c>
      <c r="Z110" s="42" t="s">
        <v>192</v>
      </c>
    </row>
    <row r="111" spans="2:26" ht="15" customHeight="1" outlineLevel="2" x14ac:dyDescent="0.3">
      <c r="B111" s="35" t="s">
        <v>186</v>
      </c>
      <c r="C111" s="13" t="s">
        <v>96</v>
      </c>
      <c r="D111" s="9" t="s">
        <v>98</v>
      </c>
      <c r="E111" s="22">
        <f>E79*$Y$41</f>
        <v>4390.3123692242352</v>
      </c>
      <c r="F111" s="22">
        <f t="shared" si="102"/>
        <v>0</v>
      </c>
      <c r="G111" s="22">
        <f t="shared" si="102"/>
        <v>0</v>
      </c>
      <c r="H111" s="22">
        <f t="shared" si="102"/>
        <v>0</v>
      </c>
      <c r="I111" s="22">
        <f t="shared" si="102"/>
        <v>0</v>
      </c>
      <c r="J111" s="22">
        <f t="shared" si="102"/>
        <v>0</v>
      </c>
      <c r="K111" s="22">
        <f t="shared" si="102"/>
        <v>0</v>
      </c>
      <c r="L111" s="22">
        <f t="shared" si="102"/>
        <v>0</v>
      </c>
      <c r="M111" s="22">
        <f t="shared" si="102"/>
        <v>0</v>
      </c>
      <c r="N111" s="22">
        <f t="shared" si="102"/>
        <v>0</v>
      </c>
      <c r="O111" s="22">
        <f t="shared" si="102"/>
        <v>0</v>
      </c>
      <c r="P111" s="22">
        <f t="shared" si="102"/>
        <v>0</v>
      </c>
      <c r="Q111" s="22">
        <f t="shared" si="102"/>
        <v>0</v>
      </c>
      <c r="R111" s="22">
        <f t="shared" si="102"/>
        <v>0</v>
      </c>
      <c r="S111" s="22">
        <f t="shared" si="102"/>
        <v>0</v>
      </c>
      <c r="T111" s="22">
        <f t="shared" si="102"/>
        <v>0</v>
      </c>
      <c r="U111" s="22">
        <f t="shared" si="102"/>
        <v>0</v>
      </c>
      <c r="V111" s="22">
        <f t="shared" ref="V111:X111" si="104">V79*$Y$41</f>
        <v>0</v>
      </c>
      <c r="W111" s="22">
        <f t="shared" si="104"/>
        <v>0</v>
      </c>
      <c r="X111" s="22">
        <f t="shared" si="104"/>
        <v>0</v>
      </c>
      <c r="Y111" s="22">
        <f t="shared" si="51"/>
        <v>4390.3123692242352</v>
      </c>
      <c r="Z111" s="42" t="s">
        <v>193</v>
      </c>
    </row>
    <row r="112" spans="2:26" ht="15" customHeight="1" outlineLevel="2" x14ac:dyDescent="0.3">
      <c r="B112" s="35" t="s">
        <v>186</v>
      </c>
      <c r="C112" s="13" t="s">
        <v>96</v>
      </c>
      <c r="D112" s="9" t="s">
        <v>99</v>
      </c>
      <c r="E112" s="22">
        <f>E80*$Y$41</f>
        <v>6945.3811835482047</v>
      </c>
      <c r="F112" s="22">
        <f t="shared" si="102"/>
        <v>0</v>
      </c>
      <c r="G112" s="22">
        <f t="shared" si="102"/>
        <v>0</v>
      </c>
      <c r="H112" s="22">
        <f t="shared" si="102"/>
        <v>0</v>
      </c>
      <c r="I112" s="22">
        <f t="shared" si="102"/>
        <v>0</v>
      </c>
      <c r="J112" s="22">
        <f t="shared" si="102"/>
        <v>0</v>
      </c>
      <c r="K112" s="22">
        <f t="shared" si="102"/>
        <v>0</v>
      </c>
      <c r="L112" s="22">
        <f t="shared" si="102"/>
        <v>0</v>
      </c>
      <c r="M112" s="22">
        <f t="shared" si="102"/>
        <v>0</v>
      </c>
      <c r="N112" s="22">
        <f t="shared" si="102"/>
        <v>0</v>
      </c>
      <c r="O112" s="22">
        <f t="shared" si="102"/>
        <v>0</v>
      </c>
      <c r="P112" s="22">
        <f t="shared" si="102"/>
        <v>0</v>
      </c>
      <c r="Q112" s="22">
        <f t="shared" si="102"/>
        <v>0</v>
      </c>
      <c r="R112" s="22">
        <f t="shared" si="102"/>
        <v>0</v>
      </c>
      <c r="S112" s="22">
        <f t="shared" si="102"/>
        <v>0</v>
      </c>
      <c r="T112" s="22">
        <f t="shared" si="102"/>
        <v>0</v>
      </c>
      <c r="U112" s="22">
        <f t="shared" si="102"/>
        <v>0</v>
      </c>
      <c r="V112" s="22">
        <f t="shared" ref="V112:X112" si="105">V80*$Y$41</f>
        <v>0</v>
      </c>
      <c r="W112" s="22">
        <f t="shared" si="105"/>
        <v>0</v>
      </c>
      <c r="X112" s="22">
        <f t="shared" si="105"/>
        <v>0</v>
      </c>
      <c r="Y112" s="22">
        <f t="shared" si="51"/>
        <v>6945.3811835482047</v>
      </c>
      <c r="Z112" s="42" t="s">
        <v>194</v>
      </c>
    </row>
    <row r="113" spans="2:26" ht="15" customHeight="1" outlineLevel="2" x14ac:dyDescent="0.3">
      <c r="B113" s="35" t="s">
        <v>186</v>
      </c>
      <c r="C113" s="13" t="s">
        <v>96</v>
      </c>
      <c r="D113" s="13" t="s">
        <v>100</v>
      </c>
      <c r="E113" s="22">
        <f>E78*$Y$43</f>
        <v>16093.994878104922</v>
      </c>
      <c r="F113" s="22">
        <f t="shared" ref="F113:U115" si="106">F78*$Y$43</f>
        <v>0</v>
      </c>
      <c r="G113" s="22">
        <f t="shared" si="106"/>
        <v>0</v>
      </c>
      <c r="H113" s="22">
        <f t="shared" si="106"/>
        <v>0</v>
      </c>
      <c r="I113" s="22">
        <f t="shared" si="106"/>
        <v>0</v>
      </c>
      <c r="J113" s="22">
        <f t="shared" si="106"/>
        <v>0</v>
      </c>
      <c r="K113" s="22">
        <f t="shared" si="106"/>
        <v>0</v>
      </c>
      <c r="L113" s="22">
        <f t="shared" si="106"/>
        <v>0</v>
      </c>
      <c r="M113" s="22">
        <f t="shared" si="106"/>
        <v>0</v>
      </c>
      <c r="N113" s="22">
        <f t="shared" si="106"/>
        <v>0</v>
      </c>
      <c r="O113" s="22">
        <f t="shared" si="106"/>
        <v>0</v>
      </c>
      <c r="P113" s="22">
        <f t="shared" si="106"/>
        <v>0</v>
      </c>
      <c r="Q113" s="22">
        <f t="shared" si="106"/>
        <v>0</v>
      </c>
      <c r="R113" s="22">
        <f t="shared" si="106"/>
        <v>0</v>
      </c>
      <c r="S113" s="22">
        <f t="shared" si="106"/>
        <v>0</v>
      </c>
      <c r="T113" s="22">
        <f t="shared" si="106"/>
        <v>0</v>
      </c>
      <c r="U113" s="22">
        <f t="shared" si="106"/>
        <v>0</v>
      </c>
      <c r="V113" s="22">
        <f t="shared" ref="V113:X113" si="107">V78*$Y$43</f>
        <v>0</v>
      </c>
      <c r="W113" s="22">
        <f t="shared" si="107"/>
        <v>0</v>
      </c>
      <c r="X113" s="22">
        <f t="shared" si="107"/>
        <v>0</v>
      </c>
      <c r="Y113" s="22">
        <f t="shared" si="51"/>
        <v>16093.994878104922</v>
      </c>
      <c r="Z113" s="42" t="s">
        <v>192</v>
      </c>
    </row>
    <row r="114" spans="2:26" ht="15" customHeight="1" outlineLevel="2" x14ac:dyDescent="0.3">
      <c r="B114" s="35" t="s">
        <v>186</v>
      </c>
      <c r="C114" s="13" t="s">
        <v>96</v>
      </c>
      <c r="D114" s="13" t="s">
        <v>101</v>
      </c>
      <c r="E114" s="22">
        <f>E79*$Y$43</f>
        <v>3697.1051530309355</v>
      </c>
      <c r="F114" s="22">
        <f t="shared" si="106"/>
        <v>0</v>
      </c>
      <c r="G114" s="22">
        <f t="shared" si="106"/>
        <v>0</v>
      </c>
      <c r="H114" s="22">
        <f t="shared" si="106"/>
        <v>0</v>
      </c>
      <c r="I114" s="22">
        <f t="shared" si="106"/>
        <v>0</v>
      </c>
      <c r="J114" s="22">
        <f t="shared" si="106"/>
        <v>0</v>
      </c>
      <c r="K114" s="22">
        <f t="shared" si="106"/>
        <v>0</v>
      </c>
      <c r="L114" s="22">
        <f t="shared" si="106"/>
        <v>0</v>
      </c>
      <c r="M114" s="22">
        <f t="shared" si="106"/>
        <v>0</v>
      </c>
      <c r="N114" s="22">
        <f t="shared" si="106"/>
        <v>0</v>
      </c>
      <c r="O114" s="22">
        <f t="shared" si="106"/>
        <v>0</v>
      </c>
      <c r="P114" s="22">
        <f t="shared" si="106"/>
        <v>0</v>
      </c>
      <c r="Q114" s="22">
        <f t="shared" si="106"/>
        <v>0</v>
      </c>
      <c r="R114" s="22">
        <f t="shared" si="106"/>
        <v>0</v>
      </c>
      <c r="S114" s="22">
        <f t="shared" si="106"/>
        <v>0</v>
      </c>
      <c r="T114" s="22">
        <f t="shared" si="106"/>
        <v>0</v>
      </c>
      <c r="U114" s="22">
        <f t="shared" si="106"/>
        <v>0</v>
      </c>
      <c r="V114" s="22">
        <f t="shared" ref="V114:X114" si="108">V79*$Y$43</f>
        <v>0</v>
      </c>
      <c r="W114" s="22">
        <f t="shared" si="108"/>
        <v>0</v>
      </c>
      <c r="X114" s="22">
        <f t="shared" si="108"/>
        <v>0</v>
      </c>
      <c r="Y114" s="22">
        <f t="shared" si="51"/>
        <v>3697.1051530309355</v>
      </c>
      <c r="Z114" s="42" t="s">
        <v>193</v>
      </c>
    </row>
    <row r="115" spans="2:26" ht="15" customHeight="1" outlineLevel="2" x14ac:dyDescent="0.3">
      <c r="B115" s="35" t="s">
        <v>186</v>
      </c>
      <c r="C115" s="13" t="s">
        <v>96</v>
      </c>
      <c r="D115" s="13" t="s">
        <v>102</v>
      </c>
      <c r="E115" s="22">
        <f>E80*$Y$43</f>
        <v>5848.7420493037516</v>
      </c>
      <c r="F115" s="22">
        <f t="shared" si="106"/>
        <v>0</v>
      </c>
      <c r="G115" s="22">
        <f t="shared" si="106"/>
        <v>0</v>
      </c>
      <c r="H115" s="22">
        <f t="shared" si="106"/>
        <v>0</v>
      </c>
      <c r="I115" s="22">
        <f t="shared" si="106"/>
        <v>0</v>
      </c>
      <c r="J115" s="22">
        <f t="shared" si="106"/>
        <v>0</v>
      </c>
      <c r="K115" s="22">
        <f t="shared" si="106"/>
        <v>0</v>
      </c>
      <c r="L115" s="22">
        <f t="shared" si="106"/>
        <v>0</v>
      </c>
      <c r="M115" s="22">
        <f t="shared" si="106"/>
        <v>0</v>
      </c>
      <c r="N115" s="22">
        <f t="shared" si="106"/>
        <v>0</v>
      </c>
      <c r="O115" s="22">
        <f t="shared" si="106"/>
        <v>0</v>
      </c>
      <c r="P115" s="22">
        <f t="shared" si="106"/>
        <v>0</v>
      </c>
      <c r="Q115" s="22">
        <f t="shared" si="106"/>
        <v>0</v>
      </c>
      <c r="R115" s="22">
        <f t="shared" si="106"/>
        <v>0</v>
      </c>
      <c r="S115" s="22">
        <f t="shared" si="106"/>
        <v>0</v>
      </c>
      <c r="T115" s="22">
        <f t="shared" si="106"/>
        <v>0</v>
      </c>
      <c r="U115" s="22">
        <f t="shared" si="106"/>
        <v>0</v>
      </c>
      <c r="V115" s="22">
        <f t="shared" ref="V115:X115" si="109">V80*$Y$43</f>
        <v>0</v>
      </c>
      <c r="W115" s="22">
        <f t="shared" si="109"/>
        <v>0</v>
      </c>
      <c r="X115" s="22">
        <f t="shared" si="109"/>
        <v>0</v>
      </c>
      <c r="Y115" s="22">
        <f t="shared" si="51"/>
        <v>5848.7420493037516</v>
      </c>
      <c r="Z115" s="42" t="s">
        <v>194</v>
      </c>
    </row>
    <row r="116" spans="2:26" ht="15" customHeight="1" outlineLevel="2" x14ac:dyDescent="0.3">
      <c r="B116" s="35" t="s">
        <v>186</v>
      </c>
      <c r="C116" s="13" t="s">
        <v>96</v>
      </c>
      <c r="D116" s="9" t="s">
        <v>103</v>
      </c>
      <c r="E116" s="22">
        <f>E80*$Y$45</f>
        <v>9747.9034155062545</v>
      </c>
      <c r="F116" s="22">
        <f t="shared" ref="F116:U116" si="110">F80*$Y$45</f>
        <v>0</v>
      </c>
      <c r="G116" s="22">
        <f t="shared" si="110"/>
        <v>0</v>
      </c>
      <c r="H116" s="22">
        <f t="shared" si="110"/>
        <v>0</v>
      </c>
      <c r="I116" s="22">
        <f t="shared" si="110"/>
        <v>0</v>
      </c>
      <c r="J116" s="22">
        <f t="shared" si="110"/>
        <v>0</v>
      </c>
      <c r="K116" s="22">
        <f t="shared" si="110"/>
        <v>0</v>
      </c>
      <c r="L116" s="22">
        <f t="shared" si="110"/>
        <v>0</v>
      </c>
      <c r="M116" s="22">
        <f t="shared" si="110"/>
        <v>0</v>
      </c>
      <c r="N116" s="22">
        <f t="shared" si="110"/>
        <v>0</v>
      </c>
      <c r="O116" s="22">
        <f t="shared" si="110"/>
        <v>0</v>
      </c>
      <c r="P116" s="22">
        <f t="shared" si="110"/>
        <v>0</v>
      </c>
      <c r="Q116" s="22">
        <f t="shared" si="110"/>
        <v>0</v>
      </c>
      <c r="R116" s="22">
        <f t="shared" si="110"/>
        <v>0</v>
      </c>
      <c r="S116" s="22">
        <f t="shared" si="110"/>
        <v>0</v>
      </c>
      <c r="T116" s="22">
        <f t="shared" si="110"/>
        <v>0</v>
      </c>
      <c r="U116" s="22">
        <f t="shared" si="110"/>
        <v>0</v>
      </c>
      <c r="V116" s="22">
        <f t="shared" ref="V116:X116" si="111">V80*$Y$45</f>
        <v>0</v>
      </c>
      <c r="W116" s="22">
        <f t="shared" si="111"/>
        <v>0</v>
      </c>
      <c r="X116" s="22">
        <f t="shared" si="111"/>
        <v>0</v>
      </c>
      <c r="Y116" s="22">
        <f t="shared" si="51"/>
        <v>9747.9034155062545</v>
      </c>
      <c r="Z116" s="42" t="s">
        <v>194</v>
      </c>
    </row>
    <row r="117" spans="2:26" ht="15" customHeight="1" outlineLevel="2" x14ac:dyDescent="0.3">
      <c r="B117" s="35" t="s">
        <v>186</v>
      </c>
      <c r="C117" s="13" t="s">
        <v>96</v>
      </c>
      <c r="D117" s="9" t="s">
        <v>104</v>
      </c>
      <c r="E117" s="22">
        <f>E78*$Y$47</f>
        <v>16093.994878104922</v>
      </c>
      <c r="F117" s="22">
        <f t="shared" ref="F117:U119" si="112">F78*$Y$47</f>
        <v>0</v>
      </c>
      <c r="G117" s="22">
        <f t="shared" si="112"/>
        <v>0</v>
      </c>
      <c r="H117" s="22">
        <f t="shared" si="112"/>
        <v>0</v>
      </c>
      <c r="I117" s="22">
        <f t="shared" si="112"/>
        <v>0</v>
      </c>
      <c r="J117" s="22">
        <f t="shared" si="112"/>
        <v>0</v>
      </c>
      <c r="K117" s="22">
        <f t="shared" si="112"/>
        <v>0</v>
      </c>
      <c r="L117" s="22">
        <f t="shared" si="112"/>
        <v>0</v>
      </c>
      <c r="M117" s="22">
        <f t="shared" si="112"/>
        <v>0</v>
      </c>
      <c r="N117" s="22">
        <f t="shared" si="112"/>
        <v>0</v>
      </c>
      <c r="O117" s="22">
        <f t="shared" si="112"/>
        <v>0</v>
      </c>
      <c r="P117" s="22">
        <f t="shared" si="112"/>
        <v>0</v>
      </c>
      <c r="Q117" s="22">
        <f t="shared" si="112"/>
        <v>0</v>
      </c>
      <c r="R117" s="22">
        <f t="shared" si="112"/>
        <v>0</v>
      </c>
      <c r="S117" s="22">
        <f t="shared" si="112"/>
        <v>0</v>
      </c>
      <c r="T117" s="22">
        <f t="shared" si="112"/>
        <v>0</v>
      </c>
      <c r="U117" s="22">
        <f t="shared" si="112"/>
        <v>0</v>
      </c>
      <c r="V117" s="22">
        <f t="shared" ref="V117:X117" si="113">V78*$Y$47</f>
        <v>0</v>
      </c>
      <c r="W117" s="22">
        <f t="shared" si="113"/>
        <v>0</v>
      </c>
      <c r="X117" s="22">
        <f t="shared" si="113"/>
        <v>0</v>
      </c>
      <c r="Y117" s="22">
        <f t="shared" si="51"/>
        <v>16093.994878104922</v>
      </c>
      <c r="Z117" s="42" t="s">
        <v>192</v>
      </c>
    </row>
    <row r="118" spans="2:26" ht="15" customHeight="1" outlineLevel="2" x14ac:dyDescent="0.3">
      <c r="B118" s="35" t="s">
        <v>186</v>
      </c>
      <c r="C118" s="13" t="s">
        <v>96</v>
      </c>
      <c r="D118" s="9" t="s">
        <v>105</v>
      </c>
      <c r="E118" s="22">
        <f>E79*$Y$47</f>
        <v>3697.1051530309355</v>
      </c>
      <c r="F118" s="22">
        <f t="shared" si="112"/>
        <v>0</v>
      </c>
      <c r="G118" s="22">
        <f t="shared" si="112"/>
        <v>0</v>
      </c>
      <c r="H118" s="22">
        <f t="shared" si="112"/>
        <v>0</v>
      </c>
      <c r="I118" s="22">
        <f t="shared" si="112"/>
        <v>0</v>
      </c>
      <c r="J118" s="22">
        <f t="shared" si="112"/>
        <v>0</v>
      </c>
      <c r="K118" s="22">
        <f t="shared" si="112"/>
        <v>0</v>
      </c>
      <c r="L118" s="22">
        <f t="shared" si="112"/>
        <v>0</v>
      </c>
      <c r="M118" s="22">
        <f t="shared" si="112"/>
        <v>0</v>
      </c>
      <c r="N118" s="22">
        <f t="shared" si="112"/>
        <v>0</v>
      </c>
      <c r="O118" s="22">
        <f t="shared" si="112"/>
        <v>0</v>
      </c>
      <c r="P118" s="22">
        <f t="shared" si="112"/>
        <v>0</v>
      </c>
      <c r="Q118" s="22">
        <f t="shared" si="112"/>
        <v>0</v>
      </c>
      <c r="R118" s="22">
        <f t="shared" si="112"/>
        <v>0</v>
      </c>
      <c r="S118" s="22">
        <f t="shared" si="112"/>
        <v>0</v>
      </c>
      <c r="T118" s="22">
        <f t="shared" si="112"/>
        <v>0</v>
      </c>
      <c r="U118" s="22">
        <f t="shared" si="112"/>
        <v>0</v>
      </c>
      <c r="V118" s="22">
        <f t="shared" ref="V118:X118" si="114">V79*$Y$47</f>
        <v>0</v>
      </c>
      <c r="W118" s="22">
        <f t="shared" si="114"/>
        <v>0</v>
      </c>
      <c r="X118" s="22">
        <f t="shared" si="114"/>
        <v>0</v>
      </c>
      <c r="Y118" s="22">
        <f t="shared" si="51"/>
        <v>3697.1051530309355</v>
      </c>
      <c r="Z118" s="42" t="s">
        <v>193</v>
      </c>
    </row>
    <row r="119" spans="2:26" ht="15" customHeight="1" outlineLevel="2" x14ac:dyDescent="0.3">
      <c r="B119" s="35" t="s">
        <v>186</v>
      </c>
      <c r="C119" s="13" t="s">
        <v>96</v>
      </c>
      <c r="D119" s="9" t="s">
        <v>106</v>
      </c>
      <c r="E119" s="22">
        <f>E80*$Y$47</f>
        <v>5848.7420493037516</v>
      </c>
      <c r="F119" s="22">
        <f t="shared" si="112"/>
        <v>0</v>
      </c>
      <c r="G119" s="22">
        <f t="shared" si="112"/>
        <v>0</v>
      </c>
      <c r="H119" s="22">
        <f t="shared" si="112"/>
        <v>0</v>
      </c>
      <c r="I119" s="22">
        <f t="shared" si="112"/>
        <v>0</v>
      </c>
      <c r="J119" s="22">
        <f t="shared" si="112"/>
        <v>0</v>
      </c>
      <c r="K119" s="22">
        <f t="shared" si="112"/>
        <v>0</v>
      </c>
      <c r="L119" s="22">
        <f t="shared" si="112"/>
        <v>0</v>
      </c>
      <c r="M119" s="22">
        <f t="shared" si="112"/>
        <v>0</v>
      </c>
      <c r="N119" s="22">
        <f t="shared" si="112"/>
        <v>0</v>
      </c>
      <c r="O119" s="22">
        <f t="shared" si="112"/>
        <v>0</v>
      </c>
      <c r="P119" s="22">
        <f t="shared" si="112"/>
        <v>0</v>
      </c>
      <c r="Q119" s="22">
        <f t="shared" si="112"/>
        <v>0</v>
      </c>
      <c r="R119" s="22">
        <f t="shared" si="112"/>
        <v>0</v>
      </c>
      <c r="S119" s="22">
        <f t="shared" si="112"/>
        <v>0</v>
      </c>
      <c r="T119" s="22">
        <f t="shared" si="112"/>
        <v>0</v>
      </c>
      <c r="U119" s="22">
        <f t="shared" si="112"/>
        <v>0</v>
      </c>
      <c r="V119" s="22">
        <f t="shared" ref="V119:X119" si="115">V80*$Y$47</f>
        <v>0</v>
      </c>
      <c r="W119" s="22">
        <f t="shared" si="115"/>
        <v>0</v>
      </c>
      <c r="X119" s="22">
        <f t="shared" si="115"/>
        <v>0</v>
      </c>
      <c r="Y119" s="22">
        <f t="shared" si="51"/>
        <v>5848.7420493037516</v>
      </c>
      <c r="Z119" s="42" t="s">
        <v>194</v>
      </c>
    </row>
    <row r="120" spans="2:26" ht="15" customHeight="1" outlineLevel="2" x14ac:dyDescent="0.3">
      <c r="B120" s="35" t="s">
        <v>186</v>
      </c>
      <c r="C120" s="13" t="s">
        <v>96</v>
      </c>
      <c r="D120" s="9" t="s">
        <v>107</v>
      </c>
      <c r="E120" s="22">
        <f>E78*$Y$49</f>
        <v>13076.370838460251</v>
      </c>
      <c r="F120" s="22">
        <f t="shared" ref="F120:U122" si="116">F78*$Y$49</f>
        <v>0</v>
      </c>
      <c r="G120" s="22">
        <f t="shared" si="116"/>
        <v>0</v>
      </c>
      <c r="H120" s="22">
        <f t="shared" si="116"/>
        <v>0</v>
      </c>
      <c r="I120" s="22">
        <f t="shared" si="116"/>
        <v>0</v>
      </c>
      <c r="J120" s="22">
        <f t="shared" si="116"/>
        <v>0</v>
      </c>
      <c r="K120" s="22">
        <f t="shared" si="116"/>
        <v>0</v>
      </c>
      <c r="L120" s="22">
        <f t="shared" si="116"/>
        <v>0</v>
      </c>
      <c r="M120" s="22">
        <f t="shared" si="116"/>
        <v>0</v>
      </c>
      <c r="N120" s="22">
        <f t="shared" si="116"/>
        <v>0</v>
      </c>
      <c r="O120" s="22">
        <f t="shared" si="116"/>
        <v>0</v>
      </c>
      <c r="P120" s="22">
        <f t="shared" si="116"/>
        <v>0</v>
      </c>
      <c r="Q120" s="22">
        <f t="shared" si="116"/>
        <v>0</v>
      </c>
      <c r="R120" s="22">
        <f t="shared" si="116"/>
        <v>0</v>
      </c>
      <c r="S120" s="22">
        <f t="shared" si="116"/>
        <v>0</v>
      </c>
      <c r="T120" s="22">
        <f t="shared" si="116"/>
        <v>0</v>
      </c>
      <c r="U120" s="22">
        <f t="shared" si="116"/>
        <v>0</v>
      </c>
      <c r="V120" s="22">
        <f t="shared" ref="V120:X120" si="117">V78*$Y$49</f>
        <v>0</v>
      </c>
      <c r="W120" s="22">
        <f t="shared" si="117"/>
        <v>0</v>
      </c>
      <c r="X120" s="22">
        <f t="shared" si="117"/>
        <v>0</v>
      </c>
      <c r="Y120" s="22">
        <f t="shared" si="51"/>
        <v>13076.370838460251</v>
      </c>
      <c r="Z120" s="42" t="s">
        <v>192</v>
      </c>
    </row>
    <row r="121" spans="2:26" ht="15" customHeight="1" outlineLevel="2" x14ac:dyDescent="0.3">
      <c r="B121" s="35" t="s">
        <v>186</v>
      </c>
      <c r="C121" s="13" t="s">
        <v>96</v>
      </c>
      <c r="D121" s="9" t="s">
        <v>108</v>
      </c>
      <c r="E121" s="22">
        <f>E79*$Y$49</f>
        <v>3003.8979368376354</v>
      </c>
      <c r="F121" s="22">
        <f t="shared" si="116"/>
        <v>0</v>
      </c>
      <c r="G121" s="22">
        <f t="shared" si="116"/>
        <v>0</v>
      </c>
      <c r="H121" s="22">
        <f t="shared" si="116"/>
        <v>0</v>
      </c>
      <c r="I121" s="22">
        <f t="shared" si="116"/>
        <v>0</v>
      </c>
      <c r="J121" s="22">
        <f t="shared" si="116"/>
        <v>0</v>
      </c>
      <c r="K121" s="22">
        <f t="shared" si="116"/>
        <v>0</v>
      </c>
      <c r="L121" s="22">
        <f t="shared" si="116"/>
        <v>0</v>
      </c>
      <c r="M121" s="22">
        <f t="shared" si="116"/>
        <v>0</v>
      </c>
      <c r="N121" s="22">
        <f t="shared" si="116"/>
        <v>0</v>
      </c>
      <c r="O121" s="22">
        <f t="shared" si="116"/>
        <v>0</v>
      </c>
      <c r="P121" s="22">
        <f t="shared" si="116"/>
        <v>0</v>
      </c>
      <c r="Q121" s="22">
        <f t="shared" si="116"/>
        <v>0</v>
      </c>
      <c r="R121" s="22">
        <f t="shared" si="116"/>
        <v>0</v>
      </c>
      <c r="S121" s="22">
        <f t="shared" si="116"/>
        <v>0</v>
      </c>
      <c r="T121" s="22">
        <f t="shared" si="116"/>
        <v>0</v>
      </c>
      <c r="U121" s="22">
        <f t="shared" si="116"/>
        <v>0</v>
      </c>
      <c r="V121" s="22">
        <f t="shared" ref="V121:X121" si="118">V79*$Y$49</f>
        <v>0</v>
      </c>
      <c r="W121" s="22">
        <f t="shared" si="118"/>
        <v>0</v>
      </c>
      <c r="X121" s="22">
        <f t="shared" si="118"/>
        <v>0</v>
      </c>
      <c r="Y121" s="22">
        <f t="shared" si="51"/>
        <v>3003.8979368376354</v>
      </c>
      <c r="Z121" s="42" t="s">
        <v>193</v>
      </c>
    </row>
    <row r="122" spans="2:26" ht="15" customHeight="1" outlineLevel="2" x14ac:dyDescent="0.3">
      <c r="B122" s="35" t="s">
        <v>186</v>
      </c>
      <c r="C122" s="13" t="s">
        <v>96</v>
      </c>
      <c r="D122" s="9" t="s">
        <v>109</v>
      </c>
      <c r="E122" s="22">
        <f>E80*$Y$49</f>
        <v>4752.1029150592985</v>
      </c>
      <c r="F122" s="22">
        <f t="shared" si="116"/>
        <v>0</v>
      </c>
      <c r="G122" s="22">
        <f t="shared" si="116"/>
        <v>0</v>
      </c>
      <c r="H122" s="22">
        <f t="shared" si="116"/>
        <v>0</v>
      </c>
      <c r="I122" s="22">
        <f t="shared" si="116"/>
        <v>0</v>
      </c>
      <c r="J122" s="22">
        <f t="shared" si="116"/>
        <v>0</v>
      </c>
      <c r="K122" s="22">
        <f t="shared" si="116"/>
        <v>0</v>
      </c>
      <c r="L122" s="22">
        <f t="shared" si="116"/>
        <v>0</v>
      </c>
      <c r="M122" s="22">
        <f t="shared" si="116"/>
        <v>0</v>
      </c>
      <c r="N122" s="22">
        <f t="shared" si="116"/>
        <v>0</v>
      </c>
      <c r="O122" s="22">
        <f t="shared" si="116"/>
        <v>0</v>
      </c>
      <c r="P122" s="22">
        <f t="shared" si="116"/>
        <v>0</v>
      </c>
      <c r="Q122" s="22">
        <f t="shared" si="116"/>
        <v>0</v>
      </c>
      <c r="R122" s="22">
        <f t="shared" si="116"/>
        <v>0</v>
      </c>
      <c r="S122" s="22">
        <f t="shared" si="116"/>
        <v>0</v>
      </c>
      <c r="T122" s="22">
        <f t="shared" si="116"/>
        <v>0</v>
      </c>
      <c r="U122" s="22">
        <f t="shared" si="116"/>
        <v>0</v>
      </c>
      <c r="V122" s="22">
        <f t="shared" ref="V122:X122" si="119">V80*$Y$49</f>
        <v>0</v>
      </c>
      <c r="W122" s="22">
        <f t="shared" si="119"/>
        <v>0</v>
      </c>
      <c r="X122" s="22">
        <f t="shared" si="119"/>
        <v>0</v>
      </c>
      <c r="Y122" s="22">
        <f t="shared" si="51"/>
        <v>4752.1029150592985</v>
      </c>
      <c r="Z122" s="42" t="s">
        <v>194</v>
      </c>
    </row>
    <row r="123" spans="2:26" ht="15" customHeight="1" outlineLevel="2" x14ac:dyDescent="0.3">
      <c r="B123" s="35" t="s">
        <v>186</v>
      </c>
      <c r="C123" s="13" t="s">
        <v>96</v>
      </c>
      <c r="D123" s="9" t="s">
        <v>138</v>
      </c>
      <c r="E123" s="22">
        <f>E79*$Y$51</f>
        <v>0</v>
      </c>
      <c r="F123" s="22">
        <f t="shared" ref="F123:U123" si="120">F79*$Y$51</f>
        <v>0</v>
      </c>
      <c r="G123" s="22">
        <f t="shared" si="120"/>
        <v>0</v>
      </c>
      <c r="H123" s="22">
        <f t="shared" si="120"/>
        <v>0</v>
      </c>
      <c r="I123" s="22">
        <f t="shared" si="120"/>
        <v>0</v>
      </c>
      <c r="J123" s="22">
        <f t="shared" si="120"/>
        <v>0</v>
      </c>
      <c r="K123" s="22">
        <f t="shared" si="120"/>
        <v>0</v>
      </c>
      <c r="L123" s="22">
        <f t="shared" si="120"/>
        <v>0</v>
      </c>
      <c r="M123" s="22">
        <f t="shared" si="120"/>
        <v>0</v>
      </c>
      <c r="N123" s="22">
        <f t="shared" si="120"/>
        <v>0</v>
      </c>
      <c r="O123" s="22">
        <f t="shared" si="120"/>
        <v>0</v>
      </c>
      <c r="P123" s="22">
        <f t="shared" si="120"/>
        <v>0</v>
      </c>
      <c r="Q123" s="22">
        <f t="shared" si="120"/>
        <v>0</v>
      </c>
      <c r="R123" s="22">
        <f t="shared" si="120"/>
        <v>0</v>
      </c>
      <c r="S123" s="22">
        <f t="shared" si="120"/>
        <v>0</v>
      </c>
      <c r="T123" s="22">
        <f t="shared" si="120"/>
        <v>0</v>
      </c>
      <c r="U123" s="22">
        <f t="shared" si="120"/>
        <v>0</v>
      </c>
      <c r="V123" s="22">
        <f t="shared" ref="V123:X123" si="121">V79*$Y$51</f>
        <v>0</v>
      </c>
      <c r="W123" s="22">
        <f t="shared" si="121"/>
        <v>0</v>
      </c>
      <c r="X123" s="22">
        <f t="shared" si="121"/>
        <v>0</v>
      </c>
      <c r="Y123" s="22">
        <f t="shared" si="51"/>
        <v>0</v>
      </c>
      <c r="Z123" s="42" t="s">
        <v>193</v>
      </c>
    </row>
    <row r="124" spans="2:26" ht="15" customHeight="1" outlineLevel="2" x14ac:dyDescent="0.3">
      <c r="B124" s="35" t="s">
        <v>186</v>
      </c>
      <c r="C124" s="13" t="s">
        <v>96</v>
      </c>
      <c r="D124" s="9" t="s">
        <v>110</v>
      </c>
      <c r="E124" s="22">
        <f>E80*$Y$53</f>
        <v>9260.5082447309396</v>
      </c>
      <c r="F124" s="22">
        <f t="shared" ref="F124:U124" si="122">F80*$Y$53</f>
        <v>0</v>
      </c>
      <c r="G124" s="22">
        <f t="shared" si="122"/>
        <v>0</v>
      </c>
      <c r="H124" s="22">
        <f t="shared" si="122"/>
        <v>0</v>
      </c>
      <c r="I124" s="22">
        <f t="shared" si="122"/>
        <v>0</v>
      </c>
      <c r="J124" s="22">
        <f t="shared" si="122"/>
        <v>0</v>
      </c>
      <c r="K124" s="22">
        <f t="shared" si="122"/>
        <v>0</v>
      </c>
      <c r="L124" s="22">
        <f t="shared" si="122"/>
        <v>0</v>
      </c>
      <c r="M124" s="22">
        <f t="shared" si="122"/>
        <v>0</v>
      </c>
      <c r="N124" s="22">
        <f t="shared" si="122"/>
        <v>0</v>
      </c>
      <c r="O124" s="22">
        <f t="shared" si="122"/>
        <v>0</v>
      </c>
      <c r="P124" s="22">
        <f t="shared" si="122"/>
        <v>0</v>
      </c>
      <c r="Q124" s="22">
        <f t="shared" si="122"/>
        <v>0</v>
      </c>
      <c r="R124" s="22">
        <f t="shared" si="122"/>
        <v>0</v>
      </c>
      <c r="S124" s="22">
        <f t="shared" si="122"/>
        <v>0</v>
      </c>
      <c r="T124" s="22">
        <f t="shared" si="122"/>
        <v>0</v>
      </c>
      <c r="U124" s="22">
        <f t="shared" si="122"/>
        <v>0</v>
      </c>
      <c r="V124" s="22">
        <f t="shared" ref="V124:X124" si="123">V80*$Y$53</f>
        <v>0</v>
      </c>
      <c r="W124" s="22">
        <f t="shared" si="123"/>
        <v>0</v>
      </c>
      <c r="X124" s="22">
        <f t="shared" si="123"/>
        <v>0</v>
      </c>
      <c r="Y124" s="22">
        <f t="shared" si="51"/>
        <v>9260.5082447309396</v>
      </c>
      <c r="Z124" s="42" t="s">
        <v>194</v>
      </c>
    </row>
    <row r="125" spans="2:26" ht="15" customHeight="1" outlineLevel="2" x14ac:dyDescent="0.3">
      <c r="B125" s="35" t="s">
        <v>186</v>
      </c>
      <c r="C125" s="13" t="s">
        <v>96</v>
      </c>
      <c r="D125" s="9" t="s">
        <v>139</v>
      </c>
      <c r="E125" s="22">
        <f>E78*$Y$55</f>
        <v>0</v>
      </c>
      <c r="F125" s="22">
        <f t="shared" ref="F125:U127" si="124">F78*$Y$55</f>
        <v>0</v>
      </c>
      <c r="G125" s="22">
        <f t="shared" si="124"/>
        <v>0</v>
      </c>
      <c r="H125" s="22">
        <f t="shared" si="124"/>
        <v>0</v>
      </c>
      <c r="I125" s="22">
        <f t="shared" si="124"/>
        <v>0</v>
      </c>
      <c r="J125" s="22">
        <f t="shared" si="124"/>
        <v>0</v>
      </c>
      <c r="K125" s="22">
        <f t="shared" si="124"/>
        <v>0</v>
      </c>
      <c r="L125" s="22">
        <f t="shared" si="124"/>
        <v>0</v>
      </c>
      <c r="M125" s="22">
        <f t="shared" si="124"/>
        <v>0</v>
      </c>
      <c r="N125" s="22">
        <f t="shared" si="124"/>
        <v>0</v>
      </c>
      <c r="O125" s="22">
        <f t="shared" si="124"/>
        <v>0</v>
      </c>
      <c r="P125" s="22">
        <f t="shared" si="124"/>
        <v>0</v>
      </c>
      <c r="Q125" s="22">
        <f t="shared" si="124"/>
        <v>0</v>
      </c>
      <c r="R125" s="22">
        <f t="shared" si="124"/>
        <v>0</v>
      </c>
      <c r="S125" s="22">
        <f t="shared" si="124"/>
        <v>0</v>
      </c>
      <c r="T125" s="22">
        <f t="shared" si="124"/>
        <v>0</v>
      </c>
      <c r="U125" s="22">
        <f t="shared" si="124"/>
        <v>0</v>
      </c>
      <c r="V125" s="22">
        <f t="shared" ref="V125:X125" si="125">V78*$Y$55</f>
        <v>0</v>
      </c>
      <c r="W125" s="22">
        <f t="shared" si="125"/>
        <v>0</v>
      </c>
      <c r="X125" s="22">
        <f t="shared" si="125"/>
        <v>0</v>
      </c>
      <c r="Y125" s="22">
        <f t="shared" si="51"/>
        <v>0</v>
      </c>
      <c r="Z125" s="42" t="s">
        <v>192</v>
      </c>
    </row>
    <row r="126" spans="2:26" ht="15" customHeight="1" outlineLevel="2" x14ac:dyDescent="0.3">
      <c r="B126" s="35" t="s">
        <v>186</v>
      </c>
      <c r="C126" s="13" t="s">
        <v>96</v>
      </c>
      <c r="D126" s="9" t="s">
        <v>140</v>
      </c>
      <c r="E126" s="22">
        <f>E79*$Y$55</f>
        <v>0</v>
      </c>
      <c r="F126" s="22">
        <f t="shared" si="124"/>
        <v>0</v>
      </c>
      <c r="G126" s="22">
        <f t="shared" si="124"/>
        <v>0</v>
      </c>
      <c r="H126" s="22">
        <f t="shared" si="124"/>
        <v>0</v>
      </c>
      <c r="I126" s="22">
        <f t="shared" si="124"/>
        <v>0</v>
      </c>
      <c r="J126" s="22">
        <f t="shared" si="124"/>
        <v>0</v>
      </c>
      <c r="K126" s="22">
        <f t="shared" si="124"/>
        <v>0</v>
      </c>
      <c r="L126" s="22">
        <f t="shared" si="124"/>
        <v>0</v>
      </c>
      <c r="M126" s="22">
        <f t="shared" si="124"/>
        <v>0</v>
      </c>
      <c r="N126" s="22">
        <f t="shared" si="124"/>
        <v>0</v>
      </c>
      <c r="O126" s="22">
        <f t="shared" si="124"/>
        <v>0</v>
      </c>
      <c r="P126" s="22">
        <f t="shared" si="124"/>
        <v>0</v>
      </c>
      <c r="Q126" s="22">
        <f t="shared" si="124"/>
        <v>0</v>
      </c>
      <c r="R126" s="22">
        <f t="shared" si="124"/>
        <v>0</v>
      </c>
      <c r="S126" s="22">
        <f t="shared" si="124"/>
        <v>0</v>
      </c>
      <c r="T126" s="22">
        <f t="shared" si="124"/>
        <v>0</v>
      </c>
      <c r="U126" s="22">
        <f t="shared" si="124"/>
        <v>0</v>
      </c>
      <c r="V126" s="22">
        <f t="shared" ref="V126:X126" si="126">V79*$Y$55</f>
        <v>0</v>
      </c>
      <c r="W126" s="22">
        <f t="shared" si="126"/>
        <v>0</v>
      </c>
      <c r="X126" s="22">
        <f t="shared" si="126"/>
        <v>0</v>
      </c>
      <c r="Y126" s="22">
        <f t="shared" si="51"/>
        <v>0</v>
      </c>
      <c r="Z126" s="42" t="s">
        <v>193</v>
      </c>
    </row>
    <row r="127" spans="2:26" ht="15" customHeight="1" outlineLevel="2" x14ac:dyDescent="0.3">
      <c r="B127" s="35" t="s">
        <v>186</v>
      </c>
      <c r="C127" s="13" t="s">
        <v>96</v>
      </c>
      <c r="D127" s="9" t="s">
        <v>141</v>
      </c>
      <c r="E127" s="22">
        <f>E80*$Y$55</f>
        <v>0</v>
      </c>
      <c r="F127" s="22">
        <f t="shared" si="124"/>
        <v>0</v>
      </c>
      <c r="G127" s="22">
        <f t="shared" si="124"/>
        <v>0</v>
      </c>
      <c r="H127" s="22">
        <f t="shared" si="124"/>
        <v>0</v>
      </c>
      <c r="I127" s="22">
        <f t="shared" si="124"/>
        <v>0</v>
      </c>
      <c r="J127" s="22">
        <f t="shared" si="124"/>
        <v>0</v>
      </c>
      <c r="K127" s="22">
        <f t="shared" si="124"/>
        <v>0</v>
      </c>
      <c r="L127" s="22">
        <f t="shared" si="124"/>
        <v>0</v>
      </c>
      <c r="M127" s="22">
        <f t="shared" si="124"/>
        <v>0</v>
      </c>
      <c r="N127" s="22">
        <f t="shared" si="124"/>
        <v>0</v>
      </c>
      <c r="O127" s="22">
        <f t="shared" si="124"/>
        <v>0</v>
      </c>
      <c r="P127" s="22">
        <f t="shared" si="124"/>
        <v>0</v>
      </c>
      <c r="Q127" s="22">
        <f t="shared" si="124"/>
        <v>0</v>
      </c>
      <c r="R127" s="22">
        <f t="shared" si="124"/>
        <v>0</v>
      </c>
      <c r="S127" s="22">
        <f t="shared" si="124"/>
        <v>0</v>
      </c>
      <c r="T127" s="22">
        <f t="shared" si="124"/>
        <v>0</v>
      </c>
      <c r="U127" s="22">
        <f t="shared" si="124"/>
        <v>0</v>
      </c>
      <c r="V127" s="22">
        <f t="shared" ref="V127:X127" si="127">V80*$Y$55</f>
        <v>0</v>
      </c>
      <c r="W127" s="22">
        <f t="shared" si="127"/>
        <v>0</v>
      </c>
      <c r="X127" s="22">
        <f t="shared" si="127"/>
        <v>0</v>
      </c>
      <c r="Y127" s="22">
        <f t="shared" si="51"/>
        <v>0</v>
      </c>
      <c r="Z127" s="42" t="s">
        <v>194</v>
      </c>
    </row>
    <row r="128" spans="2:26" ht="15" customHeight="1" outlineLevel="2" x14ac:dyDescent="0.3">
      <c r="B128" s="35" t="s">
        <v>186</v>
      </c>
      <c r="C128" s="13" t="s">
        <v>96</v>
      </c>
      <c r="D128" s="9" t="s">
        <v>111</v>
      </c>
      <c r="E128" s="22">
        <f>E78*$Y$57</f>
        <v>21458.659837473235</v>
      </c>
      <c r="F128" s="22">
        <f t="shared" ref="F128:U128" si="128">F78*$Y$57</f>
        <v>0</v>
      </c>
      <c r="G128" s="22">
        <f t="shared" si="128"/>
        <v>0</v>
      </c>
      <c r="H128" s="22">
        <f t="shared" si="128"/>
        <v>0</v>
      </c>
      <c r="I128" s="22">
        <f t="shared" si="128"/>
        <v>0</v>
      </c>
      <c r="J128" s="22">
        <f t="shared" si="128"/>
        <v>0</v>
      </c>
      <c r="K128" s="22">
        <f t="shared" si="128"/>
        <v>0</v>
      </c>
      <c r="L128" s="22">
        <f t="shared" si="128"/>
        <v>0</v>
      </c>
      <c r="M128" s="22">
        <f t="shared" si="128"/>
        <v>0</v>
      </c>
      <c r="N128" s="22">
        <f t="shared" si="128"/>
        <v>0</v>
      </c>
      <c r="O128" s="22">
        <f t="shared" si="128"/>
        <v>0</v>
      </c>
      <c r="P128" s="22">
        <f t="shared" si="128"/>
        <v>0</v>
      </c>
      <c r="Q128" s="22">
        <f t="shared" si="128"/>
        <v>0</v>
      </c>
      <c r="R128" s="22">
        <f t="shared" si="128"/>
        <v>0</v>
      </c>
      <c r="S128" s="22">
        <f t="shared" si="128"/>
        <v>0</v>
      </c>
      <c r="T128" s="22">
        <f t="shared" si="128"/>
        <v>0</v>
      </c>
      <c r="U128" s="22">
        <f t="shared" si="128"/>
        <v>0</v>
      </c>
      <c r="V128" s="22">
        <f t="shared" ref="V128:X128" si="129">V78*$Y$57</f>
        <v>0</v>
      </c>
      <c r="W128" s="22">
        <f t="shared" si="129"/>
        <v>0</v>
      </c>
      <c r="X128" s="22">
        <f t="shared" si="129"/>
        <v>0</v>
      </c>
      <c r="Y128" s="22">
        <f t="shared" si="51"/>
        <v>21458.659837473235</v>
      </c>
      <c r="Z128" s="42" t="s">
        <v>192</v>
      </c>
    </row>
    <row r="129" spans="2:26" ht="15" customHeight="1" outlineLevel="2" x14ac:dyDescent="0.3">
      <c r="B129" s="35" t="s">
        <v>186</v>
      </c>
      <c r="C129" s="13" t="s">
        <v>96</v>
      </c>
      <c r="D129" s="9" t="s">
        <v>112</v>
      </c>
      <c r="E129" s="22">
        <f>E78*$Y$59</f>
        <v>20117.493597631154</v>
      </c>
      <c r="F129" s="22">
        <f t="shared" ref="F129:U129" si="130">F78*$Y$59</f>
        <v>0</v>
      </c>
      <c r="G129" s="22">
        <f t="shared" si="130"/>
        <v>0</v>
      </c>
      <c r="H129" s="22">
        <f t="shared" si="130"/>
        <v>0</v>
      </c>
      <c r="I129" s="22">
        <f t="shared" si="130"/>
        <v>0</v>
      </c>
      <c r="J129" s="22">
        <f t="shared" si="130"/>
        <v>0</v>
      </c>
      <c r="K129" s="22">
        <f t="shared" si="130"/>
        <v>0</v>
      </c>
      <c r="L129" s="22">
        <f t="shared" si="130"/>
        <v>0</v>
      </c>
      <c r="M129" s="22">
        <f t="shared" si="130"/>
        <v>0</v>
      </c>
      <c r="N129" s="22">
        <f t="shared" si="130"/>
        <v>0</v>
      </c>
      <c r="O129" s="22">
        <f t="shared" si="130"/>
        <v>0</v>
      </c>
      <c r="P129" s="22">
        <f t="shared" si="130"/>
        <v>0</v>
      </c>
      <c r="Q129" s="22">
        <f t="shared" si="130"/>
        <v>0</v>
      </c>
      <c r="R129" s="22">
        <f t="shared" si="130"/>
        <v>0</v>
      </c>
      <c r="S129" s="22">
        <f t="shared" si="130"/>
        <v>0</v>
      </c>
      <c r="T129" s="22">
        <f t="shared" si="130"/>
        <v>0</v>
      </c>
      <c r="U129" s="22">
        <f t="shared" si="130"/>
        <v>0</v>
      </c>
      <c r="V129" s="22">
        <f t="shared" ref="V129:X129" si="131">V78*$Y$59</f>
        <v>0</v>
      </c>
      <c r="W129" s="22">
        <f t="shared" si="131"/>
        <v>0</v>
      </c>
      <c r="X129" s="22">
        <f t="shared" si="131"/>
        <v>0</v>
      </c>
      <c r="Y129" s="22">
        <f t="shared" si="51"/>
        <v>20117.493597631154</v>
      </c>
      <c r="Z129" s="42" t="s">
        <v>192</v>
      </c>
    </row>
    <row r="130" spans="2:26" ht="15" customHeight="1" outlineLevel="2" x14ac:dyDescent="0.3">
      <c r="B130" s="35" t="s">
        <v>186</v>
      </c>
      <c r="C130" s="13" t="s">
        <v>96</v>
      </c>
      <c r="D130" s="9" t="s">
        <v>142</v>
      </c>
      <c r="E130" s="22">
        <f>E79*$Y$61</f>
        <v>0</v>
      </c>
      <c r="F130" s="22">
        <f t="shared" ref="F130:U130" si="132">F79*$Y$61</f>
        <v>0</v>
      </c>
      <c r="G130" s="22">
        <f t="shared" si="132"/>
        <v>0</v>
      </c>
      <c r="H130" s="22">
        <f t="shared" si="132"/>
        <v>0</v>
      </c>
      <c r="I130" s="22">
        <f t="shared" si="132"/>
        <v>0</v>
      </c>
      <c r="J130" s="22">
        <f t="shared" si="132"/>
        <v>0</v>
      </c>
      <c r="K130" s="22">
        <f t="shared" si="132"/>
        <v>0</v>
      </c>
      <c r="L130" s="22">
        <f t="shared" si="132"/>
        <v>0</v>
      </c>
      <c r="M130" s="22">
        <f t="shared" si="132"/>
        <v>0</v>
      </c>
      <c r="N130" s="22">
        <f t="shared" si="132"/>
        <v>0</v>
      </c>
      <c r="O130" s="22">
        <f t="shared" si="132"/>
        <v>0</v>
      </c>
      <c r="P130" s="22">
        <f t="shared" si="132"/>
        <v>0</v>
      </c>
      <c r="Q130" s="22">
        <f t="shared" si="132"/>
        <v>0</v>
      </c>
      <c r="R130" s="22">
        <f t="shared" si="132"/>
        <v>0</v>
      </c>
      <c r="S130" s="22">
        <f t="shared" si="132"/>
        <v>0</v>
      </c>
      <c r="T130" s="22">
        <f t="shared" si="132"/>
        <v>0</v>
      </c>
      <c r="U130" s="22">
        <f t="shared" si="132"/>
        <v>0</v>
      </c>
      <c r="V130" s="22">
        <f t="shared" ref="V130:X130" si="133">V79*$Y$61</f>
        <v>0</v>
      </c>
      <c r="W130" s="22">
        <f t="shared" si="133"/>
        <v>0</v>
      </c>
      <c r="X130" s="22">
        <f t="shared" si="133"/>
        <v>0</v>
      </c>
      <c r="Y130" s="22">
        <f t="shared" si="51"/>
        <v>0</v>
      </c>
      <c r="Z130" s="42" t="s">
        <v>193</v>
      </c>
    </row>
    <row r="131" spans="2:26" ht="15" customHeight="1" outlineLevel="2" x14ac:dyDescent="0.3">
      <c r="B131" s="35" t="s">
        <v>186</v>
      </c>
      <c r="C131" s="13" t="s">
        <v>96</v>
      </c>
      <c r="D131" s="9" t="s">
        <v>143</v>
      </c>
      <c r="E131" s="22">
        <f>E80*$Y$63</f>
        <v>0</v>
      </c>
      <c r="F131" s="22">
        <f t="shared" ref="F131:U131" si="134">F80*$Y$63</f>
        <v>0</v>
      </c>
      <c r="G131" s="22">
        <f t="shared" si="134"/>
        <v>0</v>
      </c>
      <c r="H131" s="22">
        <f t="shared" si="134"/>
        <v>0</v>
      </c>
      <c r="I131" s="22">
        <f t="shared" si="134"/>
        <v>0</v>
      </c>
      <c r="J131" s="22">
        <f t="shared" si="134"/>
        <v>0</v>
      </c>
      <c r="K131" s="22">
        <f t="shared" si="134"/>
        <v>0</v>
      </c>
      <c r="L131" s="22">
        <f t="shared" si="134"/>
        <v>0</v>
      </c>
      <c r="M131" s="22">
        <f t="shared" si="134"/>
        <v>0</v>
      </c>
      <c r="N131" s="22">
        <f t="shared" si="134"/>
        <v>0</v>
      </c>
      <c r="O131" s="22">
        <f t="shared" si="134"/>
        <v>0</v>
      </c>
      <c r="P131" s="22">
        <f t="shared" si="134"/>
        <v>0</v>
      </c>
      <c r="Q131" s="22">
        <f t="shared" si="134"/>
        <v>0</v>
      </c>
      <c r="R131" s="22">
        <f t="shared" si="134"/>
        <v>0</v>
      </c>
      <c r="S131" s="22">
        <f t="shared" si="134"/>
        <v>0</v>
      </c>
      <c r="T131" s="22">
        <f t="shared" si="134"/>
        <v>0</v>
      </c>
      <c r="U131" s="22">
        <f t="shared" si="134"/>
        <v>0</v>
      </c>
      <c r="V131" s="22">
        <f t="shared" ref="V131:X131" si="135">V80*$Y$63</f>
        <v>0</v>
      </c>
      <c r="W131" s="22">
        <f t="shared" si="135"/>
        <v>0</v>
      </c>
      <c r="X131" s="22">
        <f t="shared" si="135"/>
        <v>0</v>
      </c>
      <c r="Y131" s="22">
        <f t="shared" si="51"/>
        <v>0</v>
      </c>
      <c r="Z131" s="42" t="s">
        <v>194</v>
      </c>
    </row>
    <row r="132" spans="2:26" ht="15" customHeight="1" outlineLevel="2" x14ac:dyDescent="0.3">
      <c r="B132" s="35" t="s">
        <v>186</v>
      </c>
      <c r="C132" s="13" t="s">
        <v>96</v>
      </c>
      <c r="D132" s="9" t="s">
        <v>144</v>
      </c>
      <c r="E132" s="22">
        <f>E80*$Y$67</f>
        <v>0</v>
      </c>
      <c r="F132" s="22">
        <f t="shared" ref="F132:U132" si="136">F80*$Y$67</f>
        <v>0</v>
      </c>
      <c r="G132" s="22">
        <f t="shared" si="136"/>
        <v>0</v>
      </c>
      <c r="H132" s="22">
        <f t="shared" si="136"/>
        <v>0</v>
      </c>
      <c r="I132" s="22">
        <f t="shared" si="136"/>
        <v>0</v>
      </c>
      <c r="J132" s="22">
        <f t="shared" si="136"/>
        <v>0</v>
      </c>
      <c r="K132" s="22">
        <f t="shared" si="136"/>
        <v>0</v>
      </c>
      <c r="L132" s="22">
        <f t="shared" si="136"/>
        <v>0</v>
      </c>
      <c r="M132" s="22">
        <f t="shared" si="136"/>
        <v>0</v>
      </c>
      <c r="N132" s="22">
        <f t="shared" si="136"/>
        <v>0</v>
      </c>
      <c r="O132" s="22">
        <f t="shared" si="136"/>
        <v>0</v>
      </c>
      <c r="P132" s="22">
        <f t="shared" si="136"/>
        <v>0</v>
      </c>
      <c r="Q132" s="22">
        <f t="shared" si="136"/>
        <v>0</v>
      </c>
      <c r="R132" s="22">
        <f t="shared" si="136"/>
        <v>0</v>
      </c>
      <c r="S132" s="22">
        <f t="shared" si="136"/>
        <v>0</v>
      </c>
      <c r="T132" s="22">
        <f t="shared" si="136"/>
        <v>0</v>
      </c>
      <c r="U132" s="22">
        <f t="shared" si="136"/>
        <v>0</v>
      </c>
      <c r="V132" s="22">
        <f t="shared" ref="V132:X132" si="137">V80*$Y$67</f>
        <v>0</v>
      </c>
      <c r="W132" s="22">
        <f t="shared" si="137"/>
        <v>0</v>
      </c>
      <c r="X132" s="22">
        <f t="shared" si="137"/>
        <v>0</v>
      </c>
      <c r="Y132" s="22">
        <f t="shared" si="51"/>
        <v>0</v>
      </c>
      <c r="Z132" s="42" t="s">
        <v>194</v>
      </c>
    </row>
    <row r="133" spans="2:26" ht="15" customHeight="1" outlineLevel="2" x14ac:dyDescent="0.3">
      <c r="B133" s="35" t="s">
        <v>186</v>
      </c>
      <c r="C133" s="13" t="s">
        <v>96</v>
      </c>
      <c r="D133" s="9" t="s">
        <v>113</v>
      </c>
      <c r="E133" s="22">
        <f>E78*$Y$69</f>
        <v>15088.120198223365</v>
      </c>
      <c r="F133" s="22">
        <f t="shared" ref="F133:U135" si="138">F78*$Y$69</f>
        <v>0</v>
      </c>
      <c r="G133" s="22">
        <f t="shared" si="138"/>
        <v>0</v>
      </c>
      <c r="H133" s="22">
        <f t="shared" si="138"/>
        <v>0</v>
      </c>
      <c r="I133" s="22">
        <f t="shared" si="138"/>
        <v>0</v>
      </c>
      <c r="J133" s="22">
        <f t="shared" si="138"/>
        <v>0</v>
      </c>
      <c r="K133" s="22">
        <f t="shared" si="138"/>
        <v>0</v>
      </c>
      <c r="L133" s="22">
        <f t="shared" si="138"/>
        <v>0</v>
      </c>
      <c r="M133" s="22">
        <f t="shared" si="138"/>
        <v>0</v>
      </c>
      <c r="N133" s="22">
        <f t="shared" si="138"/>
        <v>0</v>
      </c>
      <c r="O133" s="22">
        <f t="shared" si="138"/>
        <v>0</v>
      </c>
      <c r="P133" s="22">
        <f t="shared" si="138"/>
        <v>0</v>
      </c>
      <c r="Q133" s="22">
        <f t="shared" si="138"/>
        <v>0</v>
      </c>
      <c r="R133" s="22">
        <f t="shared" si="138"/>
        <v>0</v>
      </c>
      <c r="S133" s="22">
        <f t="shared" si="138"/>
        <v>0</v>
      </c>
      <c r="T133" s="22">
        <f t="shared" si="138"/>
        <v>0</v>
      </c>
      <c r="U133" s="22">
        <f t="shared" si="138"/>
        <v>0</v>
      </c>
      <c r="V133" s="22">
        <f t="shared" ref="V133:X133" si="139">V78*$Y$69</f>
        <v>0</v>
      </c>
      <c r="W133" s="22">
        <f t="shared" si="139"/>
        <v>0</v>
      </c>
      <c r="X133" s="22">
        <f t="shared" si="139"/>
        <v>0</v>
      </c>
      <c r="Y133" s="22">
        <f t="shared" si="51"/>
        <v>15088.120198223365</v>
      </c>
      <c r="Z133" s="42" t="s">
        <v>192</v>
      </c>
    </row>
    <row r="134" spans="2:26" ht="15" customHeight="1" outlineLevel="2" x14ac:dyDescent="0.3">
      <c r="B134" s="35" t="s">
        <v>186</v>
      </c>
      <c r="C134" s="13" t="s">
        <v>96</v>
      </c>
      <c r="D134" s="9" t="s">
        <v>114</v>
      </c>
      <c r="E134" s="22">
        <f>E79*$Y$69</f>
        <v>3466.0360809665021</v>
      </c>
      <c r="F134" s="22">
        <f t="shared" si="138"/>
        <v>0</v>
      </c>
      <c r="G134" s="22">
        <f t="shared" si="138"/>
        <v>0</v>
      </c>
      <c r="H134" s="22">
        <f t="shared" si="138"/>
        <v>0</v>
      </c>
      <c r="I134" s="22">
        <f t="shared" si="138"/>
        <v>0</v>
      </c>
      <c r="J134" s="22">
        <f t="shared" si="138"/>
        <v>0</v>
      </c>
      <c r="K134" s="22">
        <f t="shared" si="138"/>
        <v>0</v>
      </c>
      <c r="L134" s="22">
        <f t="shared" si="138"/>
        <v>0</v>
      </c>
      <c r="M134" s="22">
        <f t="shared" si="138"/>
        <v>0</v>
      </c>
      <c r="N134" s="22">
        <f t="shared" si="138"/>
        <v>0</v>
      </c>
      <c r="O134" s="22">
        <f t="shared" si="138"/>
        <v>0</v>
      </c>
      <c r="P134" s="22">
        <f t="shared" si="138"/>
        <v>0</v>
      </c>
      <c r="Q134" s="22">
        <f t="shared" si="138"/>
        <v>0</v>
      </c>
      <c r="R134" s="22">
        <f t="shared" si="138"/>
        <v>0</v>
      </c>
      <c r="S134" s="22">
        <f t="shared" si="138"/>
        <v>0</v>
      </c>
      <c r="T134" s="22">
        <f t="shared" si="138"/>
        <v>0</v>
      </c>
      <c r="U134" s="22">
        <f t="shared" si="138"/>
        <v>0</v>
      </c>
      <c r="V134" s="22">
        <f t="shared" ref="V134:X134" si="140">V79*$Y$69</f>
        <v>0</v>
      </c>
      <c r="W134" s="22">
        <f t="shared" si="140"/>
        <v>0</v>
      </c>
      <c r="X134" s="22">
        <f t="shared" si="140"/>
        <v>0</v>
      </c>
      <c r="Y134" s="22">
        <f t="shared" si="51"/>
        <v>3466.0360809665021</v>
      </c>
      <c r="Z134" s="42" t="s">
        <v>193</v>
      </c>
    </row>
    <row r="135" spans="2:26" ht="15" customHeight="1" outlineLevel="2" x14ac:dyDescent="0.3">
      <c r="B135" s="35" t="s">
        <v>186</v>
      </c>
      <c r="C135" s="13" t="s">
        <v>96</v>
      </c>
      <c r="D135" s="9" t="s">
        <v>115</v>
      </c>
      <c r="E135" s="22">
        <f>E80*$Y$69</f>
        <v>5483.1956712222673</v>
      </c>
      <c r="F135" s="22">
        <f t="shared" si="138"/>
        <v>0</v>
      </c>
      <c r="G135" s="22">
        <f t="shared" si="138"/>
        <v>0</v>
      </c>
      <c r="H135" s="22">
        <f t="shared" si="138"/>
        <v>0</v>
      </c>
      <c r="I135" s="22">
        <f t="shared" si="138"/>
        <v>0</v>
      </c>
      <c r="J135" s="22">
        <f t="shared" si="138"/>
        <v>0</v>
      </c>
      <c r="K135" s="22">
        <f t="shared" si="138"/>
        <v>0</v>
      </c>
      <c r="L135" s="22">
        <f t="shared" si="138"/>
        <v>0</v>
      </c>
      <c r="M135" s="22">
        <f t="shared" si="138"/>
        <v>0</v>
      </c>
      <c r="N135" s="22">
        <f t="shared" si="138"/>
        <v>0</v>
      </c>
      <c r="O135" s="22">
        <f t="shared" si="138"/>
        <v>0</v>
      </c>
      <c r="P135" s="22">
        <f t="shared" si="138"/>
        <v>0</v>
      </c>
      <c r="Q135" s="22">
        <f t="shared" si="138"/>
        <v>0</v>
      </c>
      <c r="R135" s="22">
        <f t="shared" si="138"/>
        <v>0</v>
      </c>
      <c r="S135" s="22">
        <f t="shared" si="138"/>
        <v>0</v>
      </c>
      <c r="T135" s="22">
        <f t="shared" si="138"/>
        <v>0</v>
      </c>
      <c r="U135" s="22">
        <f t="shared" si="138"/>
        <v>0</v>
      </c>
      <c r="V135" s="22">
        <f t="shared" ref="V135:X135" si="141">V80*$Y$69</f>
        <v>0</v>
      </c>
      <c r="W135" s="22">
        <f t="shared" si="141"/>
        <v>0</v>
      </c>
      <c r="X135" s="22">
        <f t="shared" si="141"/>
        <v>0</v>
      </c>
      <c r="Y135" s="22">
        <f t="shared" si="51"/>
        <v>5483.1956712222673</v>
      </c>
      <c r="Z135" s="42" t="s">
        <v>194</v>
      </c>
    </row>
    <row r="136" spans="2:26" ht="15" customHeight="1" outlineLevel="1" x14ac:dyDescent="0.3">
      <c r="B136" s="35" t="s">
        <v>186</v>
      </c>
      <c r="C136" s="13" t="s">
        <v>96</v>
      </c>
      <c r="D136" s="13" t="s">
        <v>116</v>
      </c>
      <c r="E136" s="23">
        <f>E110+E113+E117+E120+E125+E128+E129+E133</f>
        <v>121040.25314574744</v>
      </c>
      <c r="F136" s="23">
        <f t="shared" ref="F136:U136" si="142">F110+F113+F117+F120+F125+F128+F129+F133</f>
        <v>0</v>
      </c>
      <c r="G136" s="23">
        <f t="shared" si="142"/>
        <v>0</v>
      </c>
      <c r="H136" s="23">
        <f t="shared" si="142"/>
        <v>0</v>
      </c>
      <c r="I136" s="23">
        <f t="shared" si="142"/>
        <v>0</v>
      </c>
      <c r="J136" s="23">
        <f t="shared" si="142"/>
        <v>0</v>
      </c>
      <c r="K136" s="23">
        <f t="shared" si="142"/>
        <v>0</v>
      </c>
      <c r="L136" s="23">
        <f t="shared" si="142"/>
        <v>0</v>
      </c>
      <c r="M136" s="23">
        <f t="shared" si="142"/>
        <v>0</v>
      </c>
      <c r="N136" s="23">
        <f t="shared" si="142"/>
        <v>0</v>
      </c>
      <c r="O136" s="23">
        <f t="shared" si="142"/>
        <v>0</v>
      </c>
      <c r="P136" s="23">
        <f t="shared" si="142"/>
        <v>0</v>
      </c>
      <c r="Q136" s="23">
        <f t="shared" si="142"/>
        <v>0</v>
      </c>
      <c r="R136" s="23">
        <f t="shared" si="142"/>
        <v>0</v>
      </c>
      <c r="S136" s="23">
        <f t="shared" si="142"/>
        <v>0</v>
      </c>
      <c r="T136" s="23">
        <f t="shared" si="142"/>
        <v>0</v>
      </c>
      <c r="U136" s="23">
        <f t="shared" si="142"/>
        <v>0</v>
      </c>
      <c r="V136" s="23">
        <f t="shared" ref="V136:X136" si="143">V110+V113+V117+V120+V125+V128+V129+V133</f>
        <v>0</v>
      </c>
      <c r="W136" s="23">
        <f t="shared" si="143"/>
        <v>0</v>
      </c>
      <c r="X136" s="23">
        <f t="shared" si="143"/>
        <v>0</v>
      </c>
      <c r="Y136" s="22">
        <f t="shared" si="51"/>
        <v>121040.25314574744</v>
      </c>
      <c r="Z136" s="42" t="s">
        <v>192</v>
      </c>
    </row>
    <row r="137" spans="2:26" ht="15" customHeight="1" outlineLevel="1" x14ac:dyDescent="0.3">
      <c r="B137" s="35" t="s">
        <v>186</v>
      </c>
      <c r="C137" s="13" t="s">
        <v>96</v>
      </c>
      <c r="D137" s="13" t="s">
        <v>117</v>
      </c>
      <c r="E137" s="23">
        <f>E111+E114+E118+E121+E123+E126+E130+E134</f>
        <v>18254.456693090244</v>
      </c>
      <c r="F137" s="23">
        <f t="shared" ref="F137:U137" si="144">F111+F114+F118+F121+F123+F126+F130+F134</f>
        <v>0</v>
      </c>
      <c r="G137" s="23">
        <f t="shared" si="144"/>
        <v>0</v>
      </c>
      <c r="H137" s="23">
        <f t="shared" si="144"/>
        <v>0</v>
      </c>
      <c r="I137" s="23">
        <f t="shared" si="144"/>
        <v>0</v>
      </c>
      <c r="J137" s="23">
        <f t="shared" si="144"/>
        <v>0</v>
      </c>
      <c r="K137" s="23">
        <f t="shared" si="144"/>
        <v>0</v>
      </c>
      <c r="L137" s="23">
        <f t="shared" si="144"/>
        <v>0</v>
      </c>
      <c r="M137" s="23">
        <f t="shared" si="144"/>
        <v>0</v>
      </c>
      <c r="N137" s="23">
        <f t="shared" si="144"/>
        <v>0</v>
      </c>
      <c r="O137" s="23">
        <f t="shared" si="144"/>
        <v>0</v>
      </c>
      <c r="P137" s="23">
        <f t="shared" si="144"/>
        <v>0</v>
      </c>
      <c r="Q137" s="23">
        <f t="shared" si="144"/>
        <v>0</v>
      </c>
      <c r="R137" s="23">
        <f t="shared" si="144"/>
        <v>0</v>
      </c>
      <c r="S137" s="23">
        <f t="shared" si="144"/>
        <v>0</v>
      </c>
      <c r="T137" s="23">
        <f t="shared" si="144"/>
        <v>0</v>
      </c>
      <c r="U137" s="23">
        <f t="shared" si="144"/>
        <v>0</v>
      </c>
      <c r="V137" s="23">
        <f t="shared" ref="V137:X137" si="145">V111+V114+V118+V121+V123+V126+V130+V134</f>
        <v>0</v>
      </c>
      <c r="W137" s="23">
        <f t="shared" si="145"/>
        <v>0</v>
      </c>
      <c r="X137" s="23">
        <f t="shared" si="145"/>
        <v>0</v>
      </c>
      <c r="Y137" s="22">
        <f t="shared" si="51"/>
        <v>18254.456693090244</v>
      </c>
      <c r="Z137" s="42" t="s">
        <v>193</v>
      </c>
    </row>
    <row r="138" spans="2:26" ht="15" customHeight="1" outlineLevel="1" x14ac:dyDescent="0.3">
      <c r="B138" s="35" t="s">
        <v>186</v>
      </c>
      <c r="C138" s="13" t="s">
        <v>96</v>
      </c>
      <c r="D138" s="13" t="s">
        <v>118</v>
      </c>
      <c r="E138" s="23">
        <f>E112+E115+E116+E119+E122+E124+E127+E131+E132+E135</f>
        <v>47886.575528674461</v>
      </c>
      <c r="F138" s="23">
        <f t="shared" ref="F138:U138" si="146">F112+F115+F116+F119+F122+F124+F127+F131+F132+F135</f>
        <v>0</v>
      </c>
      <c r="G138" s="23">
        <f t="shared" si="146"/>
        <v>0</v>
      </c>
      <c r="H138" s="23">
        <f t="shared" si="146"/>
        <v>0</v>
      </c>
      <c r="I138" s="23">
        <f t="shared" si="146"/>
        <v>0</v>
      </c>
      <c r="J138" s="23">
        <f t="shared" si="146"/>
        <v>0</v>
      </c>
      <c r="K138" s="23">
        <f t="shared" si="146"/>
        <v>0</v>
      </c>
      <c r="L138" s="23">
        <f t="shared" si="146"/>
        <v>0</v>
      </c>
      <c r="M138" s="23">
        <f t="shared" si="146"/>
        <v>0</v>
      </c>
      <c r="N138" s="23">
        <f t="shared" si="146"/>
        <v>0</v>
      </c>
      <c r="O138" s="23">
        <f t="shared" si="146"/>
        <v>0</v>
      </c>
      <c r="P138" s="23">
        <f t="shared" si="146"/>
        <v>0</v>
      </c>
      <c r="Q138" s="23">
        <f t="shared" si="146"/>
        <v>0</v>
      </c>
      <c r="R138" s="23">
        <f t="shared" si="146"/>
        <v>0</v>
      </c>
      <c r="S138" s="23">
        <f t="shared" si="146"/>
        <v>0</v>
      </c>
      <c r="T138" s="23">
        <f t="shared" si="146"/>
        <v>0</v>
      </c>
      <c r="U138" s="23">
        <f t="shared" si="146"/>
        <v>0</v>
      </c>
      <c r="V138" s="23">
        <f t="shared" ref="V138:X138" si="147">V112+V115+V116+V119+V122+V124+V127+V131+V132+V135</f>
        <v>0</v>
      </c>
      <c r="W138" s="23">
        <f t="shared" si="147"/>
        <v>0</v>
      </c>
      <c r="X138" s="23">
        <f t="shared" si="147"/>
        <v>0</v>
      </c>
      <c r="Y138" s="22">
        <f t="shared" si="51"/>
        <v>47886.575528674461</v>
      </c>
      <c r="Z138" s="42" t="s">
        <v>194</v>
      </c>
    </row>
    <row r="139" spans="2:26" ht="15" customHeight="1" x14ac:dyDescent="0.3"/>
    <row r="140" spans="2:26" ht="15" customHeight="1" x14ac:dyDescent="0.3">
      <c r="B140" s="5" t="s">
        <v>170</v>
      </c>
    </row>
    <row r="141" spans="2:26" ht="15" customHeight="1" x14ac:dyDescent="0.3">
      <c r="B141" s="6" t="s">
        <v>171</v>
      </c>
    </row>
    <row r="142" spans="2:26" ht="15" customHeight="1" outlineLevel="1" x14ac:dyDescent="0.3">
      <c r="B142" s="35" t="s">
        <v>186</v>
      </c>
      <c r="C142" s="13" t="s">
        <v>119</v>
      </c>
      <c r="D142" s="13" t="s">
        <v>120</v>
      </c>
      <c r="E142" s="23">
        <f>E78+E82+E85+E89+E92+E95+E98+E101+E104+E107+E136</f>
        <v>2367493.7048812266</v>
      </c>
      <c r="F142" s="23">
        <f t="shared" ref="F142:U143" si="148">F78+F82+F85+F89+F92+F95+F98+F101+F104+F107+F136</f>
        <v>0</v>
      </c>
      <c r="G142" s="23">
        <f t="shared" si="148"/>
        <v>0</v>
      </c>
      <c r="H142" s="23">
        <f t="shared" si="148"/>
        <v>0</v>
      </c>
      <c r="I142" s="23">
        <f t="shared" si="148"/>
        <v>0</v>
      </c>
      <c r="J142" s="23">
        <f t="shared" si="148"/>
        <v>0</v>
      </c>
      <c r="K142" s="23">
        <f t="shared" si="148"/>
        <v>0</v>
      </c>
      <c r="L142" s="23">
        <f t="shared" si="148"/>
        <v>0</v>
      </c>
      <c r="M142" s="23">
        <f t="shared" si="148"/>
        <v>0</v>
      </c>
      <c r="N142" s="23">
        <f t="shared" si="148"/>
        <v>0</v>
      </c>
      <c r="O142" s="23">
        <f t="shared" si="148"/>
        <v>0</v>
      </c>
      <c r="P142" s="23">
        <f t="shared" si="148"/>
        <v>0</v>
      </c>
      <c r="Q142" s="23">
        <f t="shared" si="148"/>
        <v>0</v>
      </c>
      <c r="R142" s="23">
        <f t="shared" si="148"/>
        <v>0</v>
      </c>
      <c r="S142" s="23">
        <f t="shared" si="148"/>
        <v>0</v>
      </c>
      <c r="T142" s="23">
        <f t="shared" si="148"/>
        <v>0</v>
      </c>
      <c r="U142" s="23">
        <f t="shared" si="148"/>
        <v>0</v>
      </c>
      <c r="V142" s="23">
        <f t="shared" ref="V142:X142" si="149">V78+V82+V85+V89+V92+V95+V98+V101+V104+V107+V136</f>
        <v>0</v>
      </c>
      <c r="W142" s="23">
        <f t="shared" si="149"/>
        <v>0</v>
      </c>
      <c r="X142" s="23">
        <f t="shared" si="149"/>
        <v>0</v>
      </c>
      <c r="Y142" s="22">
        <f t="shared" si="51"/>
        <v>2367493.7048812266</v>
      </c>
      <c r="Z142" s="42" t="s">
        <v>192</v>
      </c>
    </row>
    <row r="143" spans="2:26" ht="15" customHeight="1" outlineLevel="1" x14ac:dyDescent="0.3">
      <c r="B143" s="35" t="s">
        <v>186</v>
      </c>
      <c r="C143" s="13" t="s">
        <v>119</v>
      </c>
      <c r="D143" s="13" t="s">
        <v>121</v>
      </c>
      <c r="E143" s="23">
        <f>E79+E83+E86+E90+E93+E96+E99+E102+E105+E108+E137</f>
        <v>509212.04897666018</v>
      </c>
      <c r="F143" s="23">
        <f t="shared" si="148"/>
        <v>0</v>
      </c>
      <c r="G143" s="23">
        <f t="shared" si="148"/>
        <v>0</v>
      </c>
      <c r="H143" s="23">
        <f t="shared" si="148"/>
        <v>0</v>
      </c>
      <c r="I143" s="23">
        <f t="shared" si="148"/>
        <v>0</v>
      </c>
      <c r="J143" s="23">
        <f t="shared" si="148"/>
        <v>0</v>
      </c>
      <c r="K143" s="23">
        <f t="shared" si="148"/>
        <v>0</v>
      </c>
      <c r="L143" s="23">
        <f t="shared" si="148"/>
        <v>0</v>
      </c>
      <c r="M143" s="23">
        <f t="shared" si="148"/>
        <v>0</v>
      </c>
      <c r="N143" s="23">
        <f t="shared" si="148"/>
        <v>0</v>
      </c>
      <c r="O143" s="23">
        <f t="shared" si="148"/>
        <v>0</v>
      </c>
      <c r="P143" s="23">
        <f t="shared" si="148"/>
        <v>0</v>
      </c>
      <c r="Q143" s="23">
        <f t="shared" si="148"/>
        <v>0</v>
      </c>
      <c r="R143" s="23">
        <f t="shared" si="148"/>
        <v>0</v>
      </c>
      <c r="S143" s="23">
        <f t="shared" si="148"/>
        <v>0</v>
      </c>
      <c r="T143" s="23">
        <f t="shared" si="148"/>
        <v>0</v>
      </c>
      <c r="U143" s="23">
        <f t="shared" si="148"/>
        <v>0</v>
      </c>
      <c r="V143" s="23">
        <f t="shared" ref="V143:X143" si="150">V79+V83+V86+V90+V93+V96+V99+V102+V105+V108+V137</f>
        <v>0</v>
      </c>
      <c r="W143" s="23">
        <f t="shared" si="150"/>
        <v>0</v>
      </c>
      <c r="X143" s="23">
        <f t="shared" si="150"/>
        <v>0</v>
      </c>
      <c r="Y143" s="22">
        <f t="shared" si="51"/>
        <v>509212.04897666018</v>
      </c>
      <c r="Z143" s="42" t="s">
        <v>193</v>
      </c>
    </row>
    <row r="144" spans="2:26" ht="15" customHeight="1" outlineLevel="1" x14ac:dyDescent="0.3">
      <c r="B144" s="35" t="s">
        <v>186</v>
      </c>
      <c r="C144" s="13" t="s">
        <v>119</v>
      </c>
      <c r="D144" s="13" t="s">
        <v>122</v>
      </c>
      <c r="E144" s="23">
        <f>E80-E81+E84+E87+E88+E91+E94+E97+E100+E103+E106+E109+E138</f>
        <v>1117788.7196254933</v>
      </c>
      <c r="F144" s="23">
        <f t="shared" ref="F144:U144" si="151">F80-F81+F84+F87+F88+F91+F94+F97+F100+F103+F106+F109+F138</f>
        <v>0</v>
      </c>
      <c r="G144" s="23">
        <f t="shared" si="151"/>
        <v>0</v>
      </c>
      <c r="H144" s="23">
        <f t="shared" si="151"/>
        <v>0</v>
      </c>
      <c r="I144" s="23">
        <f t="shared" si="151"/>
        <v>0</v>
      </c>
      <c r="J144" s="23">
        <f t="shared" si="151"/>
        <v>0</v>
      </c>
      <c r="K144" s="23">
        <f t="shared" si="151"/>
        <v>0</v>
      </c>
      <c r="L144" s="23">
        <f t="shared" si="151"/>
        <v>0</v>
      </c>
      <c r="M144" s="23">
        <f t="shared" si="151"/>
        <v>0</v>
      </c>
      <c r="N144" s="23">
        <f t="shared" si="151"/>
        <v>0</v>
      </c>
      <c r="O144" s="23">
        <f t="shared" si="151"/>
        <v>0</v>
      </c>
      <c r="P144" s="23">
        <f t="shared" si="151"/>
        <v>0</v>
      </c>
      <c r="Q144" s="23">
        <f t="shared" si="151"/>
        <v>0</v>
      </c>
      <c r="R144" s="23">
        <f t="shared" si="151"/>
        <v>0</v>
      </c>
      <c r="S144" s="23">
        <f t="shared" si="151"/>
        <v>0</v>
      </c>
      <c r="T144" s="23">
        <f t="shared" si="151"/>
        <v>0</v>
      </c>
      <c r="U144" s="23">
        <f t="shared" si="151"/>
        <v>0</v>
      </c>
      <c r="V144" s="23">
        <f t="shared" ref="V144:X144" si="152">V80-V81+V84+V87+V88+V91+V94+V97+V100+V103+V106+V109+V138</f>
        <v>0</v>
      </c>
      <c r="W144" s="23">
        <f t="shared" si="152"/>
        <v>0</v>
      </c>
      <c r="X144" s="23">
        <f t="shared" si="152"/>
        <v>0</v>
      </c>
      <c r="Y144" s="22">
        <f t="shared" si="51"/>
        <v>1117788.7196254933</v>
      </c>
      <c r="Z144" s="42" t="s">
        <v>194</v>
      </c>
    </row>
    <row r="145" spans="2:26" ht="15" customHeight="1" outlineLevel="1" x14ac:dyDescent="0.3">
      <c r="B145" s="35" t="s">
        <v>186</v>
      </c>
      <c r="C145" s="13" t="s">
        <v>119</v>
      </c>
      <c r="D145" s="13" t="s">
        <v>160</v>
      </c>
      <c r="E145" s="24">
        <f>SUM(E142:E144)</f>
        <v>3994494.4734833799</v>
      </c>
      <c r="F145" s="24">
        <f t="shared" ref="F145:U145" si="153">SUM(F142:F144)</f>
        <v>0</v>
      </c>
      <c r="G145" s="24">
        <f t="shared" si="153"/>
        <v>0</v>
      </c>
      <c r="H145" s="24">
        <f t="shared" si="153"/>
        <v>0</v>
      </c>
      <c r="I145" s="24">
        <f t="shared" si="153"/>
        <v>0</v>
      </c>
      <c r="J145" s="24">
        <f t="shared" si="153"/>
        <v>0</v>
      </c>
      <c r="K145" s="24">
        <f t="shared" si="153"/>
        <v>0</v>
      </c>
      <c r="L145" s="24">
        <f t="shared" si="153"/>
        <v>0</v>
      </c>
      <c r="M145" s="24">
        <f t="shared" si="153"/>
        <v>0</v>
      </c>
      <c r="N145" s="24">
        <f t="shared" si="153"/>
        <v>0</v>
      </c>
      <c r="O145" s="24">
        <f t="shared" si="153"/>
        <v>0</v>
      </c>
      <c r="P145" s="24">
        <f t="shared" si="153"/>
        <v>0</v>
      </c>
      <c r="Q145" s="24">
        <f t="shared" si="153"/>
        <v>0</v>
      </c>
      <c r="R145" s="24">
        <f t="shared" si="153"/>
        <v>0</v>
      </c>
      <c r="S145" s="24">
        <f t="shared" si="153"/>
        <v>0</v>
      </c>
      <c r="T145" s="24">
        <f t="shared" si="153"/>
        <v>0</v>
      </c>
      <c r="U145" s="24">
        <f t="shared" si="153"/>
        <v>0</v>
      </c>
      <c r="V145" s="24">
        <f t="shared" ref="V145:X145" si="154">SUM(V142:V144)</f>
        <v>0</v>
      </c>
      <c r="W145" s="24">
        <f t="shared" si="154"/>
        <v>0</v>
      </c>
      <c r="X145" s="24">
        <f t="shared" si="154"/>
        <v>0</v>
      </c>
      <c r="Y145" s="24">
        <f t="shared" ref="Y145:Y146" si="155">SUM(E145:X145)</f>
        <v>3994494.4734833799</v>
      </c>
      <c r="Z145" s="42" t="s">
        <v>195</v>
      </c>
    </row>
    <row r="146" spans="2:26" ht="15" customHeight="1" outlineLevel="1" x14ac:dyDescent="0.3">
      <c r="B146" s="35" t="s">
        <v>186</v>
      </c>
      <c r="C146" s="13" t="s">
        <v>119</v>
      </c>
      <c r="D146" s="13" t="s">
        <v>161</v>
      </c>
      <c r="E146" s="24">
        <f>E142+E143*1.5+E144*3</f>
        <v>6484677.9372226968</v>
      </c>
      <c r="F146" s="24">
        <f t="shared" ref="F146:U146" si="156">F142+F143*1.5+F144*3</f>
        <v>0</v>
      </c>
      <c r="G146" s="24">
        <f t="shared" si="156"/>
        <v>0</v>
      </c>
      <c r="H146" s="24">
        <f t="shared" si="156"/>
        <v>0</v>
      </c>
      <c r="I146" s="24">
        <f t="shared" si="156"/>
        <v>0</v>
      </c>
      <c r="J146" s="24">
        <f t="shared" si="156"/>
        <v>0</v>
      </c>
      <c r="K146" s="24">
        <f t="shared" si="156"/>
        <v>0</v>
      </c>
      <c r="L146" s="24">
        <f t="shared" si="156"/>
        <v>0</v>
      </c>
      <c r="M146" s="24">
        <f t="shared" si="156"/>
        <v>0</v>
      </c>
      <c r="N146" s="24">
        <f t="shared" si="156"/>
        <v>0</v>
      </c>
      <c r="O146" s="24">
        <f t="shared" si="156"/>
        <v>0</v>
      </c>
      <c r="P146" s="24">
        <f t="shared" si="156"/>
        <v>0</v>
      </c>
      <c r="Q146" s="24">
        <f t="shared" si="156"/>
        <v>0</v>
      </c>
      <c r="R146" s="24">
        <f t="shared" si="156"/>
        <v>0</v>
      </c>
      <c r="S146" s="24">
        <f t="shared" si="156"/>
        <v>0</v>
      </c>
      <c r="T146" s="24">
        <f t="shared" si="156"/>
        <v>0</v>
      </c>
      <c r="U146" s="24">
        <f t="shared" si="156"/>
        <v>0</v>
      </c>
      <c r="V146" s="24">
        <f t="shared" ref="V146:X146" si="157">V142+V143*1.5+V144*3</f>
        <v>0</v>
      </c>
      <c r="W146" s="24">
        <f t="shared" si="157"/>
        <v>0</v>
      </c>
      <c r="X146" s="24">
        <f t="shared" si="157"/>
        <v>0</v>
      </c>
      <c r="Y146" s="24">
        <f t="shared" si="155"/>
        <v>6484677.9372226968</v>
      </c>
      <c r="Z146" s="42" t="s">
        <v>196</v>
      </c>
    </row>
    <row r="147" spans="2:26" ht="15" customHeight="1" x14ac:dyDescent="0.3">
      <c r="B147" s="6" t="s">
        <v>172</v>
      </c>
    </row>
    <row r="148" spans="2:26" ht="15" customHeight="1" outlineLevel="1" x14ac:dyDescent="0.3">
      <c r="B148" s="35" t="s">
        <v>186</v>
      </c>
      <c r="C148" s="13" t="s">
        <v>119</v>
      </c>
      <c r="D148" s="13" t="s">
        <v>123</v>
      </c>
      <c r="E148" s="24">
        <f>E142*24</f>
        <v>56819848.917149439</v>
      </c>
      <c r="F148" s="24">
        <f t="shared" ref="F148:U150" si="158">F142*24</f>
        <v>0</v>
      </c>
      <c r="G148" s="24">
        <f t="shared" si="158"/>
        <v>0</v>
      </c>
      <c r="H148" s="24">
        <f t="shared" si="158"/>
        <v>0</v>
      </c>
      <c r="I148" s="24">
        <f t="shared" si="158"/>
        <v>0</v>
      </c>
      <c r="J148" s="24">
        <f t="shared" si="158"/>
        <v>0</v>
      </c>
      <c r="K148" s="24">
        <f t="shared" si="158"/>
        <v>0</v>
      </c>
      <c r="L148" s="24">
        <f t="shared" si="158"/>
        <v>0</v>
      </c>
      <c r="M148" s="24">
        <f t="shared" si="158"/>
        <v>0</v>
      </c>
      <c r="N148" s="24">
        <f t="shared" si="158"/>
        <v>0</v>
      </c>
      <c r="O148" s="24">
        <f t="shared" si="158"/>
        <v>0</v>
      </c>
      <c r="P148" s="24">
        <f t="shared" si="158"/>
        <v>0</v>
      </c>
      <c r="Q148" s="24">
        <f t="shared" si="158"/>
        <v>0</v>
      </c>
      <c r="R148" s="24">
        <f t="shared" si="158"/>
        <v>0</v>
      </c>
      <c r="S148" s="24">
        <f t="shared" si="158"/>
        <v>0</v>
      </c>
      <c r="T148" s="24">
        <f t="shared" si="158"/>
        <v>0</v>
      </c>
      <c r="U148" s="24">
        <f t="shared" si="158"/>
        <v>0</v>
      </c>
      <c r="V148" s="24">
        <f t="shared" ref="V148:X148" si="159">V142*24</f>
        <v>0</v>
      </c>
      <c r="W148" s="24">
        <f t="shared" si="159"/>
        <v>0</v>
      </c>
      <c r="X148" s="24">
        <f t="shared" si="159"/>
        <v>0</v>
      </c>
      <c r="Y148" s="40">
        <f>SUM(E148:X148)</f>
        <v>56819848.917149439</v>
      </c>
      <c r="Z148" s="42" t="s">
        <v>192</v>
      </c>
    </row>
    <row r="149" spans="2:26" ht="15" customHeight="1" outlineLevel="1" x14ac:dyDescent="0.3">
      <c r="B149" s="35" t="s">
        <v>186</v>
      </c>
      <c r="C149" s="13" t="s">
        <v>119</v>
      </c>
      <c r="D149" s="13" t="s">
        <v>124</v>
      </c>
      <c r="E149" s="24">
        <f>E143*24</f>
        <v>12221089.175439844</v>
      </c>
      <c r="F149" s="24">
        <f t="shared" si="158"/>
        <v>0</v>
      </c>
      <c r="G149" s="24">
        <f t="shared" si="158"/>
        <v>0</v>
      </c>
      <c r="H149" s="24">
        <f t="shared" si="158"/>
        <v>0</v>
      </c>
      <c r="I149" s="24">
        <f t="shared" si="158"/>
        <v>0</v>
      </c>
      <c r="J149" s="24">
        <f t="shared" si="158"/>
        <v>0</v>
      </c>
      <c r="K149" s="24">
        <f t="shared" si="158"/>
        <v>0</v>
      </c>
      <c r="L149" s="24">
        <f t="shared" si="158"/>
        <v>0</v>
      </c>
      <c r="M149" s="24">
        <f t="shared" si="158"/>
        <v>0</v>
      </c>
      <c r="N149" s="24">
        <f t="shared" si="158"/>
        <v>0</v>
      </c>
      <c r="O149" s="24">
        <f t="shared" si="158"/>
        <v>0</v>
      </c>
      <c r="P149" s="24">
        <f t="shared" si="158"/>
        <v>0</v>
      </c>
      <c r="Q149" s="24">
        <f t="shared" si="158"/>
        <v>0</v>
      </c>
      <c r="R149" s="24">
        <f t="shared" si="158"/>
        <v>0</v>
      </c>
      <c r="S149" s="24">
        <f t="shared" si="158"/>
        <v>0</v>
      </c>
      <c r="T149" s="24">
        <f t="shared" si="158"/>
        <v>0</v>
      </c>
      <c r="U149" s="24">
        <f t="shared" si="158"/>
        <v>0</v>
      </c>
      <c r="V149" s="24">
        <f t="shared" ref="V149:X149" si="160">V143*24</f>
        <v>0</v>
      </c>
      <c r="W149" s="24">
        <f t="shared" si="160"/>
        <v>0</v>
      </c>
      <c r="X149" s="24">
        <f t="shared" si="160"/>
        <v>0</v>
      </c>
      <c r="Y149" s="40">
        <f t="shared" ref="Y149:Y151" si="161">SUM(E149:X149)</f>
        <v>12221089.175439844</v>
      </c>
      <c r="Z149" s="42" t="s">
        <v>193</v>
      </c>
    </row>
    <row r="150" spans="2:26" ht="15" customHeight="1" outlineLevel="1" x14ac:dyDescent="0.3">
      <c r="B150" s="35" t="s">
        <v>186</v>
      </c>
      <c r="C150" s="13" t="s">
        <v>119</v>
      </c>
      <c r="D150" s="13" t="s">
        <v>125</v>
      </c>
      <c r="E150" s="24">
        <f>E144*24</f>
        <v>26826929.271011837</v>
      </c>
      <c r="F150" s="24">
        <f t="shared" si="158"/>
        <v>0</v>
      </c>
      <c r="G150" s="24">
        <f t="shared" si="158"/>
        <v>0</v>
      </c>
      <c r="H150" s="24">
        <f t="shared" si="158"/>
        <v>0</v>
      </c>
      <c r="I150" s="24">
        <f t="shared" si="158"/>
        <v>0</v>
      </c>
      <c r="J150" s="24">
        <f t="shared" si="158"/>
        <v>0</v>
      </c>
      <c r="K150" s="24">
        <f t="shared" si="158"/>
        <v>0</v>
      </c>
      <c r="L150" s="24">
        <f t="shared" si="158"/>
        <v>0</v>
      </c>
      <c r="M150" s="24">
        <f t="shared" si="158"/>
        <v>0</v>
      </c>
      <c r="N150" s="24">
        <f t="shared" si="158"/>
        <v>0</v>
      </c>
      <c r="O150" s="24">
        <f t="shared" si="158"/>
        <v>0</v>
      </c>
      <c r="P150" s="24">
        <f t="shared" si="158"/>
        <v>0</v>
      </c>
      <c r="Q150" s="24">
        <f t="shared" si="158"/>
        <v>0</v>
      </c>
      <c r="R150" s="24">
        <f t="shared" si="158"/>
        <v>0</v>
      </c>
      <c r="S150" s="24">
        <f t="shared" si="158"/>
        <v>0</v>
      </c>
      <c r="T150" s="24">
        <f t="shared" si="158"/>
        <v>0</v>
      </c>
      <c r="U150" s="24">
        <f t="shared" si="158"/>
        <v>0</v>
      </c>
      <c r="V150" s="24">
        <f t="shared" ref="V150:X150" si="162">V144*24</f>
        <v>0</v>
      </c>
      <c r="W150" s="24">
        <f t="shared" si="162"/>
        <v>0</v>
      </c>
      <c r="X150" s="24">
        <f t="shared" si="162"/>
        <v>0</v>
      </c>
      <c r="Y150" s="40">
        <f t="shared" si="161"/>
        <v>26826929.271011837</v>
      </c>
      <c r="Z150" s="42" t="s">
        <v>194</v>
      </c>
    </row>
    <row r="151" spans="2:26" ht="15" customHeight="1" outlineLevel="1" x14ac:dyDescent="0.3">
      <c r="B151" s="35" t="s">
        <v>186</v>
      </c>
      <c r="C151" s="13" t="s">
        <v>119</v>
      </c>
      <c r="D151" s="13" t="s">
        <v>162</v>
      </c>
      <c r="E151" s="24">
        <f>SUM(E148:E150)</f>
        <v>95867867.363601118</v>
      </c>
      <c r="F151" s="24">
        <f t="shared" ref="F151:U151" si="163">SUM(F148:F150)</f>
        <v>0</v>
      </c>
      <c r="G151" s="24">
        <f t="shared" si="163"/>
        <v>0</v>
      </c>
      <c r="H151" s="24">
        <f t="shared" si="163"/>
        <v>0</v>
      </c>
      <c r="I151" s="24">
        <f t="shared" si="163"/>
        <v>0</v>
      </c>
      <c r="J151" s="24">
        <f t="shared" si="163"/>
        <v>0</v>
      </c>
      <c r="K151" s="24">
        <f t="shared" si="163"/>
        <v>0</v>
      </c>
      <c r="L151" s="24">
        <f t="shared" si="163"/>
        <v>0</v>
      </c>
      <c r="M151" s="24">
        <f t="shared" si="163"/>
        <v>0</v>
      </c>
      <c r="N151" s="24">
        <f t="shared" si="163"/>
        <v>0</v>
      </c>
      <c r="O151" s="24">
        <f t="shared" si="163"/>
        <v>0</v>
      </c>
      <c r="P151" s="24">
        <f t="shared" si="163"/>
        <v>0</v>
      </c>
      <c r="Q151" s="24">
        <f t="shared" si="163"/>
        <v>0</v>
      </c>
      <c r="R151" s="24">
        <f t="shared" si="163"/>
        <v>0</v>
      </c>
      <c r="S151" s="24">
        <f t="shared" si="163"/>
        <v>0</v>
      </c>
      <c r="T151" s="24">
        <f t="shared" si="163"/>
        <v>0</v>
      </c>
      <c r="U151" s="24">
        <f t="shared" si="163"/>
        <v>0</v>
      </c>
      <c r="V151" s="24">
        <f t="shared" ref="V151:X151" si="164">SUM(V148:V150)</f>
        <v>0</v>
      </c>
      <c r="W151" s="24">
        <f t="shared" si="164"/>
        <v>0</v>
      </c>
      <c r="X151" s="24">
        <f t="shared" si="164"/>
        <v>0</v>
      </c>
      <c r="Y151" s="41">
        <f t="shared" si="161"/>
        <v>95867867.363601118</v>
      </c>
      <c r="Z151" s="42" t="s">
        <v>195</v>
      </c>
    </row>
    <row r="152" spans="2:26" ht="15" customHeight="1" outlineLevel="1" x14ac:dyDescent="0.3">
      <c r="B152" s="35" t="s">
        <v>186</v>
      </c>
      <c r="C152" s="13" t="s">
        <v>119</v>
      </c>
      <c r="D152" s="13" t="s">
        <v>163</v>
      </c>
      <c r="E152" s="24">
        <f>E148+E149*1.5+E150*3</f>
        <v>155632270.49334472</v>
      </c>
      <c r="F152" s="24">
        <f t="shared" ref="F152:U152" si="165">F148+F149*1.5+F150*3</f>
        <v>0</v>
      </c>
      <c r="G152" s="24">
        <f t="shared" si="165"/>
        <v>0</v>
      </c>
      <c r="H152" s="24">
        <f t="shared" si="165"/>
        <v>0</v>
      </c>
      <c r="I152" s="24">
        <f t="shared" si="165"/>
        <v>0</v>
      </c>
      <c r="J152" s="24">
        <f t="shared" si="165"/>
        <v>0</v>
      </c>
      <c r="K152" s="24">
        <f t="shared" si="165"/>
        <v>0</v>
      </c>
      <c r="L152" s="24">
        <f t="shared" si="165"/>
        <v>0</v>
      </c>
      <c r="M152" s="24">
        <f t="shared" si="165"/>
        <v>0</v>
      </c>
      <c r="N152" s="24">
        <f t="shared" si="165"/>
        <v>0</v>
      </c>
      <c r="O152" s="24">
        <f t="shared" si="165"/>
        <v>0</v>
      </c>
      <c r="P152" s="24">
        <f t="shared" si="165"/>
        <v>0</v>
      </c>
      <c r="Q152" s="24">
        <f t="shared" si="165"/>
        <v>0</v>
      </c>
      <c r="R152" s="24">
        <f t="shared" si="165"/>
        <v>0</v>
      </c>
      <c r="S152" s="24">
        <f t="shared" si="165"/>
        <v>0</v>
      </c>
      <c r="T152" s="24">
        <f t="shared" si="165"/>
        <v>0</v>
      </c>
      <c r="U152" s="24">
        <f t="shared" si="165"/>
        <v>0</v>
      </c>
      <c r="V152" s="24">
        <f t="shared" ref="V152:X152" si="166">V148+V149*1.5+V150*3</f>
        <v>0</v>
      </c>
      <c r="W152" s="24">
        <f t="shared" si="166"/>
        <v>0</v>
      </c>
      <c r="X152" s="24">
        <f t="shared" si="166"/>
        <v>0</v>
      </c>
      <c r="Y152" s="41">
        <f>SUM(E152:X152)</f>
        <v>155632270.49334472</v>
      </c>
      <c r="Z152" s="42" t="s">
        <v>196</v>
      </c>
    </row>
    <row r="153" spans="2:26" ht="15" customHeight="1" x14ac:dyDescent="0.3">
      <c r="B153" s="6" t="s">
        <v>173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2:26" ht="15" customHeight="1" outlineLevel="1" x14ac:dyDescent="0.3">
      <c r="B154" s="35" t="s">
        <v>186</v>
      </c>
      <c r="C154" s="13" t="s">
        <v>119</v>
      </c>
      <c r="D154" s="13" t="s">
        <v>126</v>
      </c>
      <c r="E154" s="24">
        <f>E148*7</f>
        <v>397738942.42004609</v>
      </c>
      <c r="F154" s="24">
        <f t="shared" ref="F154:U156" si="167">F148*7</f>
        <v>0</v>
      </c>
      <c r="G154" s="24">
        <f t="shared" si="167"/>
        <v>0</v>
      </c>
      <c r="H154" s="24">
        <f t="shared" si="167"/>
        <v>0</v>
      </c>
      <c r="I154" s="24">
        <f t="shared" si="167"/>
        <v>0</v>
      </c>
      <c r="J154" s="24">
        <f t="shared" si="167"/>
        <v>0</v>
      </c>
      <c r="K154" s="24">
        <f t="shared" si="167"/>
        <v>0</v>
      </c>
      <c r="L154" s="24">
        <f t="shared" si="167"/>
        <v>0</v>
      </c>
      <c r="M154" s="24">
        <f t="shared" si="167"/>
        <v>0</v>
      </c>
      <c r="N154" s="24">
        <f t="shared" si="167"/>
        <v>0</v>
      </c>
      <c r="O154" s="24">
        <f t="shared" si="167"/>
        <v>0</v>
      </c>
      <c r="P154" s="24">
        <f t="shared" si="167"/>
        <v>0</v>
      </c>
      <c r="Q154" s="24">
        <f t="shared" si="167"/>
        <v>0</v>
      </c>
      <c r="R154" s="24">
        <f t="shared" si="167"/>
        <v>0</v>
      </c>
      <c r="S154" s="24">
        <f t="shared" si="167"/>
        <v>0</v>
      </c>
      <c r="T154" s="24">
        <f t="shared" si="167"/>
        <v>0</v>
      </c>
      <c r="U154" s="24">
        <f t="shared" si="167"/>
        <v>0</v>
      </c>
      <c r="V154" s="24">
        <f t="shared" ref="V154:X154" si="168">V148*7</f>
        <v>0</v>
      </c>
      <c r="W154" s="24">
        <f t="shared" si="168"/>
        <v>0</v>
      </c>
      <c r="X154" s="24">
        <f t="shared" si="168"/>
        <v>0</v>
      </c>
      <c r="Y154" s="24">
        <f t="shared" ref="Y154:Y158" si="169">SUM(E154:X154)</f>
        <v>397738942.42004609</v>
      </c>
      <c r="Z154" s="42" t="s">
        <v>192</v>
      </c>
    </row>
    <row r="155" spans="2:26" ht="15" customHeight="1" outlineLevel="1" x14ac:dyDescent="0.3">
      <c r="B155" s="35" t="s">
        <v>186</v>
      </c>
      <c r="C155" s="13" t="s">
        <v>119</v>
      </c>
      <c r="D155" s="13" t="s">
        <v>127</v>
      </c>
      <c r="E155" s="24">
        <f t="shared" ref="E155:E156" si="170">E149*7</f>
        <v>85547624.228078902</v>
      </c>
      <c r="F155" s="24">
        <f t="shared" si="167"/>
        <v>0</v>
      </c>
      <c r="G155" s="24">
        <f t="shared" si="167"/>
        <v>0</v>
      </c>
      <c r="H155" s="24">
        <f t="shared" si="167"/>
        <v>0</v>
      </c>
      <c r="I155" s="24">
        <f t="shared" si="167"/>
        <v>0</v>
      </c>
      <c r="J155" s="24">
        <f t="shared" si="167"/>
        <v>0</v>
      </c>
      <c r="K155" s="24">
        <f t="shared" si="167"/>
        <v>0</v>
      </c>
      <c r="L155" s="24">
        <f t="shared" si="167"/>
        <v>0</v>
      </c>
      <c r="M155" s="24">
        <f t="shared" si="167"/>
        <v>0</v>
      </c>
      <c r="N155" s="24">
        <f t="shared" si="167"/>
        <v>0</v>
      </c>
      <c r="O155" s="24">
        <f t="shared" si="167"/>
        <v>0</v>
      </c>
      <c r="P155" s="24">
        <f t="shared" si="167"/>
        <v>0</v>
      </c>
      <c r="Q155" s="24">
        <f t="shared" si="167"/>
        <v>0</v>
      </c>
      <c r="R155" s="24">
        <f t="shared" si="167"/>
        <v>0</v>
      </c>
      <c r="S155" s="24">
        <f t="shared" si="167"/>
        <v>0</v>
      </c>
      <c r="T155" s="24">
        <f t="shared" si="167"/>
        <v>0</v>
      </c>
      <c r="U155" s="24">
        <f t="shared" si="167"/>
        <v>0</v>
      </c>
      <c r="V155" s="24">
        <f t="shared" ref="V155:X155" si="171">V149*7</f>
        <v>0</v>
      </c>
      <c r="W155" s="24">
        <f t="shared" si="171"/>
        <v>0</v>
      </c>
      <c r="X155" s="24">
        <f t="shared" si="171"/>
        <v>0</v>
      </c>
      <c r="Y155" s="24">
        <f t="shared" si="169"/>
        <v>85547624.228078902</v>
      </c>
      <c r="Z155" s="42" t="s">
        <v>193</v>
      </c>
    </row>
    <row r="156" spans="2:26" ht="15" customHeight="1" outlineLevel="1" x14ac:dyDescent="0.3">
      <c r="B156" s="35" t="s">
        <v>186</v>
      </c>
      <c r="C156" s="13" t="s">
        <v>119</v>
      </c>
      <c r="D156" s="13" t="s">
        <v>128</v>
      </c>
      <c r="E156" s="24">
        <f t="shared" si="170"/>
        <v>187788504.89708287</v>
      </c>
      <c r="F156" s="24">
        <f t="shared" si="167"/>
        <v>0</v>
      </c>
      <c r="G156" s="24">
        <f t="shared" si="167"/>
        <v>0</v>
      </c>
      <c r="H156" s="24">
        <f t="shared" si="167"/>
        <v>0</v>
      </c>
      <c r="I156" s="24">
        <f t="shared" si="167"/>
        <v>0</v>
      </c>
      <c r="J156" s="24">
        <f t="shared" si="167"/>
        <v>0</v>
      </c>
      <c r="K156" s="24">
        <f t="shared" si="167"/>
        <v>0</v>
      </c>
      <c r="L156" s="24">
        <f t="shared" si="167"/>
        <v>0</v>
      </c>
      <c r="M156" s="24">
        <f t="shared" si="167"/>
        <v>0</v>
      </c>
      <c r="N156" s="24">
        <f t="shared" si="167"/>
        <v>0</v>
      </c>
      <c r="O156" s="24">
        <f t="shared" si="167"/>
        <v>0</v>
      </c>
      <c r="P156" s="24">
        <f t="shared" si="167"/>
        <v>0</v>
      </c>
      <c r="Q156" s="24">
        <f t="shared" si="167"/>
        <v>0</v>
      </c>
      <c r="R156" s="24">
        <f t="shared" si="167"/>
        <v>0</v>
      </c>
      <c r="S156" s="24">
        <f t="shared" si="167"/>
        <v>0</v>
      </c>
      <c r="T156" s="24">
        <f t="shared" si="167"/>
        <v>0</v>
      </c>
      <c r="U156" s="24">
        <f t="shared" si="167"/>
        <v>0</v>
      </c>
      <c r="V156" s="24">
        <f t="shared" ref="V156:X156" si="172">V150*7</f>
        <v>0</v>
      </c>
      <c r="W156" s="24">
        <f t="shared" si="172"/>
        <v>0</v>
      </c>
      <c r="X156" s="24">
        <f t="shared" si="172"/>
        <v>0</v>
      </c>
      <c r="Y156" s="24">
        <f t="shared" si="169"/>
        <v>187788504.89708287</v>
      </c>
      <c r="Z156" s="42" t="s">
        <v>194</v>
      </c>
    </row>
    <row r="157" spans="2:26" ht="15" customHeight="1" outlineLevel="1" x14ac:dyDescent="0.3">
      <c r="B157" s="35" t="s">
        <v>186</v>
      </c>
      <c r="C157" s="13" t="s">
        <v>119</v>
      </c>
      <c r="D157" s="13" t="s">
        <v>164</v>
      </c>
      <c r="E157" s="25">
        <f>SUM(E154:E156)</f>
        <v>671075071.54520786</v>
      </c>
      <c r="F157" s="25">
        <f t="shared" ref="F157:U157" si="173">SUM(F154:F156)</f>
        <v>0</v>
      </c>
      <c r="G157" s="25">
        <f t="shared" si="173"/>
        <v>0</v>
      </c>
      <c r="H157" s="25">
        <f t="shared" si="173"/>
        <v>0</v>
      </c>
      <c r="I157" s="25">
        <f t="shared" si="173"/>
        <v>0</v>
      </c>
      <c r="J157" s="25">
        <f t="shared" si="173"/>
        <v>0</v>
      </c>
      <c r="K157" s="25">
        <f t="shared" si="173"/>
        <v>0</v>
      </c>
      <c r="L157" s="25">
        <f t="shared" si="173"/>
        <v>0</v>
      </c>
      <c r="M157" s="25">
        <f t="shared" si="173"/>
        <v>0</v>
      </c>
      <c r="N157" s="25">
        <f t="shared" si="173"/>
        <v>0</v>
      </c>
      <c r="O157" s="25">
        <f t="shared" si="173"/>
        <v>0</v>
      </c>
      <c r="P157" s="25">
        <f t="shared" si="173"/>
        <v>0</v>
      </c>
      <c r="Q157" s="25">
        <f t="shared" si="173"/>
        <v>0</v>
      </c>
      <c r="R157" s="25">
        <f t="shared" si="173"/>
        <v>0</v>
      </c>
      <c r="S157" s="25">
        <f t="shared" si="173"/>
        <v>0</v>
      </c>
      <c r="T157" s="25">
        <f t="shared" si="173"/>
        <v>0</v>
      </c>
      <c r="U157" s="25">
        <f t="shared" si="173"/>
        <v>0</v>
      </c>
      <c r="V157" s="25">
        <f t="shared" ref="V157:X157" si="174">SUM(V154:V156)</f>
        <v>0</v>
      </c>
      <c r="W157" s="25">
        <f t="shared" si="174"/>
        <v>0</v>
      </c>
      <c r="X157" s="25">
        <f t="shared" si="174"/>
        <v>0</v>
      </c>
      <c r="Y157" s="25">
        <f t="shared" si="169"/>
        <v>671075071.54520786</v>
      </c>
      <c r="Z157" s="42" t="s">
        <v>195</v>
      </c>
    </row>
    <row r="158" spans="2:26" ht="15" customHeight="1" outlineLevel="1" x14ac:dyDescent="0.3">
      <c r="B158" s="35" t="s">
        <v>186</v>
      </c>
      <c r="C158" s="13" t="s">
        <v>119</v>
      </c>
      <c r="D158" s="13" t="s">
        <v>165</v>
      </c>
      <c r="E158" s="25">
        <f>E154+E155*1.5+E156*3</f>
        <v>1089425893.453413</v>
      </c>
      <c r="F158" s="25">
        <f t="shared" ref="F158:U158" si="175">F154+F155*1.5+F156*3</f>
        <v>0</v>
      </c>
      <c r="G158" s="25">
        <f t="shared" si="175"/>
        <v>0</v>
      </c>
      <c r="H158" s="25">
        <f t="shared" si="175"/>
        <v>0</v>
      </c>
      <c r="I158" s="25">
        <f t="shared" si="175"/>
        <v>0</v>
      </c>
      <c r="J158" s="25">
        <f t="shared" si="175"/>
        <v>0</v>
      </c>
      <c r="K158" s="25">
        <f t="shared" si="175"/>
        <v>0</v>
      </c>
      <c r="L158" s="25">
        <f t="shared" si="175"/>
        <v>0</v>
      </c>
      <c r="M158" s="25">
        <f t="shared" si="175"/>
        <v>0</v>
      </c>
      <c r="N158" s="25">
        <f t="shared" si="175"/>
        <v>0</v>
      </c>
      <c r="O158" s="25">
        <f t="shared" si="175"/>
        <v>0</v>
      </c>
      <c r="P158" s="25">
        <f t="shared" si="175"/>
        <v>0</v>
      </c>
      <c r="Q158" s="25">
        <f t="shared" si="175"/>
        <v>0</v>
      </c>
      <c r="R158" s="25">
        <f t="shared" si="175"/>
        <v>0</v>
      </c>
      <c r="S158" s="25">
        <f t="shared" si="175"/>
        <v>0</v>
      </c>
      <c r="T158" s="25">
        <f t="shared" si="175"/>
        <v>0</v>
      </c>
      <c r="U158" s="25">
        <f t="shared" si="175"/>
        <v>0</v>
      </c>
      <c r="V158" s="25">
        <f t="shared" ref="V158:X158" si="176">V154+V155*1.5+V156*3</f>
        <v>0</v>
      </c>
      <c r="W158" s="25">
        <f t="shared" si="176"/>
        <v>0</v>
      </c>
      <c r="X158" s="25">
        <f t="shared" si="176"/>
        <v>0</v>
      </c>
      <c r="Y158" s="25">
        <f t="shared" si="169"/>
        <v>1089425893.453413</v>
      </c>
      <c r="Z158" s="42" t="s">
        <v>196</v>
      </c>
    </row>
    <row r="159" spans="2:26" ht="15" customHeight="1" x14ac:dyDescent="0.3">
      <c r="B159" s="6" t="s">
        <v>174</v>
      </c>
    </row>
    <row r="160" spans="2:26" ht="15" customHeight="1" outlineLevel="1" x14ac:dyDescent="0.3">
      <c r="B160" s="35" t="s">
        <v>186</v>
      </c>
      <c r="C160" s="13" t="s">
        <v>119</v>
      </c>
      <c r="D160" s="13" t="s">
        <v>129</v>
      </c>
      <c r="E160" s="25">
        <f>E148*31</f>
        <v>1761415316.4316325</v>
      </c>
      <c r="F160" s="25">
        <f t="shared" ref="F160:U162" si="177">F148*31</f>
        <v>0</v>
      </c>
      <c r="G160" s="25">
        <f t="shared" si="177"/>
        <v>0</v>
      </c>
      <c r="H160" s="25">
        <f t="shared" si="177"/>
        <v>0</v>
      </c>
      <c r="I160" s="25">
        <f t="shared" si="177"/>
        <v>0</v>
      </c>
      <c r="J160" s="25">
        <f t="shared" si="177"/>
        <v>0</v>
      </c>
      <c r="K160" s="25">
        <f t="shared" si="177"/>
        <v>0</v>
      </c>
      <c r="L160" s="25">
        <f t="shared" si="177"/>
        <v>0</v>
      </c>
      <c r="M160" s="25">
        <f t="shared" si="177"/>
        <v>0</v>
      </c>
      <c r="N160" s="25">
        <f t="shared" si="177"/>
        <v>0</v>
      </c>
      <c r="O160" s="25">
        <f t="shared" si="177"/>
        <v>0</v>
      </c>
      <c r="P160" s="25">
        <f t="shared" si="177"/>
        <v>0</v>
      </c>
      <c r="Q160" s="25">
        <f t="shared" si="177"/>
        <v>0</v>
      </c>
      <c r="R160" s="25">
        <f t="shared" si="177"/>
        <v>0</v>
      </c>
      <c r="S160" s="25">
        <f t="shared" si="177"/>
        <v>0</v>
      </c>
      <c r="T160" s="25">
        <f t="shared" si="177"/>
        <v>0</v>
      </c>
      <c r="U160" s="25">
        <f t="shared" si="177"/>
        <v>0</v>
      </c>
      <c r="V160" s="25">
        <f t="shared" ref="V160:X160" si="178">V148*31</f>
        <v>0</v>
      </c>
      <c r="W160" s="25">
        <f t="shared" si="178"/>
        <v>0</v>
      </c>
      <c r="X160" s="25">
        <f t="shared" si="178"/>
        <v>0</v>
      </c>
      <c r="Y160" s="25">
        <f t="shared" ref="Y160:Y164" si="179">SUM(E160:X160)</f>
        <v>1761415316.4316325</v>
      </c>
      <c r="Z160" s="42" t="s">
        <v>192</v>
      </c>
    </row>
    <row r="161" spans="2:26" ht="15" customHeight="1" outlineLevel="1" x14ac:dyDescent="0.3">
      <c r="B161" s="35" t="s">
        <v>186</v>
      </c>
      <c r="C161" s="13" t="s">
        <v>119</v>
      </c>
      <c r="D161" s="13" t="s">
        <v>130</v>
      </c>
      <c r="E161" s="25">
        <f t="shared" ref="E161:E162" si="180">E149*31</f>
        <v>378853764.43863517</v>
      </c>
      <c r="F161" s="25">
        <f t="shared" si="177"/>
        <v>0</v>
      </c>
      <c r="G161" s="25">
        <f t="shared" si="177"/>
        <v>0</v>
      </c>
      <c r="H161" s="25">
        <f t="shared" si="177"/>
        <v>0</v>
      </c>
      <c r="I161" s="25">
        <f t="shared" si="177"/>
        <v>0</v>
      </c>
      <c r="J161" s="25">
        <f t="shared" si="177"/>
        <v>0</v>
      </c>
      <c r="K161" s="25">
        <f t="shared" si="177"/>
        <v>0</v>
      </c>
      <c r="L161" s="25">
        <f t="shared" si="177"/>
        <v>0</v>
      </c>
      <c r="M161" s="25">
        <f t="shared" si="177"/>
        <v>0</v>
      </c>
      <c r="N161" s="25">
        <f t="shared" si="177"/>
        <v>0</v>
      </c>
      <c r="O161" s="25">
        <f t="shared" si="177"/>
        <v>0</v>
      </c>
      <c r="P161" s="25">
        <f t="shared" si="177"/>
        <v>0</v>
      </c>
      <c r="Q161" s="25">
        <f t="shared" si="177"/>
        <v>0</v>
      </c>
      <c r="R161" s="25">
        <f t="shared" si="177"/>
        <v>0</v>
      </c>
      <c r="S161" s="25">
        <f t="shared" si="177"/>
        <v>0</v>
      </c>
      <c r="T161" s="25">
        <f t="shared" si="177"/>
        <v>0</v>
      </c>
      <c r="U161" s="25">
        <f t="shared" si="177"/>
        <v>0</v>
      </c>
      <c r="V161" s="25">
        <f t="shared" ref="V161:X161" si="181">V149*31</f>
        <v>0</v>
      </c>
      <c r="W161" s="25">
        <f t="shared" si="181"/>
        <v>0</v>
      </c>
      <c r="X161" s="25">
        <f t="shared" si="181"/>
        <v>0</v>
      </c>
      <c r="Y161" s="25">
        <f t="shared" si="179"/>
        <v>378853764.43863517</v>
      </c>
      <c r="Z161" s="42" t="s">
        <v>193</v>
      </c>
    </row>
    <row r="162" spans="2:26" ht="15" customHeight="1" outlineLevel="1" x14ac:dyDescent="0.3">
      <c r="B162" s="35" t="s">
        <v>186</v>
      </c>
      <c r="C162" s="13" t="s">
        <v>119</v>
      </c>
      <c r="D162" s="13" t="s">
        <v>131</v>
      </c>
      <c r="E162" s="25">
        <f t="shared" si="180"/>
        <v>831634807.40136695</v>
      </c>
      <c r="F162" s="25">
        <f t="shared" si="177"/>
        <v>0</v>
      </c>
      <c r="G162" s="25">
        <f t="shared" si="177"/>
        <v>0</v>
      </c>
      <c r="H162" s="25">
        <f t="shared" si="177"/>
        <v>0</v>
      </c>
      <c r="I162" s="25">
        <f t="shared" si="177"/>
        <v>0</v>
      </c>
      <c r="J162" s="25">
        <f t="shared" si="177"/>
        <v>0</v>
      </c>
      <c r="K162" s="25">
        <f t="shared" si="177"/>
        <v>0</v>
      </c>
      <c r="L162" s="25">
        <f t="shared" si="177"/>
        <v>0</v>
      </c>
      <c r="M162" s="25">
        <f t="shared" si="177"/>
        <v>0</v>
      </c>
      <c r="N162" s="25">
        <f t="shared" si="177"/>
        <v>0</v>
      </c>
      <c r="O162" s="25">
        <f t="shared" si="177"/>
        <v>0</v>
      </c>
      <c r="P162" s="25">
        <f t="shared" si="177"/>
        <v>0</v>
      </c>
      <c r="Q162" s="25">
        <f t="shared" si="177"/>
        <v>0</v>
      </c>
      <c r="R162" s="25">
        <f t="shared" si="177"/>
        <v>0</v>
      </c>
      <c r="S162" s="25">
        <f t="shared" si="177"/>
        <v>0</v>
      </c>
      <c r="T162" s="25">
        <f t="shared" si="177"/>
        <v>0</v>
      </c>
      <c r="U162" s="25">
        <f t="shared" si="177"/>
        <v>0</v>
      </c>
      <c r="V162" s="25">
        <f t="shared" ref="V162:X162" si="182">V150*31</f>
        <v>0</v>
      </c>
      <c r="W162" s="25">
        <f t="shared" si="182"/>
        <v>0</v>
      </c>
      <c r="X162" s="25">
        <f t="shared" si="182"/>
        <v>0</v>
      </c>
      <c r="Y162" s="25">
        <f t="shared" si="179"/>
        <v>831634807.40136695</v>
      </c>
      <c r="Z162" s="42" t="s">
        <v>194</v>
      </c>
    </row>
    <row r="163" spans="2:26" ht="15" customHeight="1" outlineLevel="1" x14ac:dyDescent="0.3">
      <c r="B163" s="35" t="s">
        <v>186</v>
      </c>
      <c r="C163" s="13" t="s">
        <v>119</v>
      </c>
      <c r="D163" s="13" t="s">
        <v>166</v>
      </c>
      <c r="E163" s="25">
        <f>SUM(E160:E162)</f>
        <v>2971903888.2716346</v>
      </c>
      <c r="F163" s="25">
        <f t="shared" ref="F163:U163" si="183">SUM(F160:F162)</f>
        <v>0</v>
      </c>
      <c r="G163" s="25">
        <f t="shared" si="183"/>
        <v>0</v>
      </c>
      <c r="H163" s="25">
        <f t="shared" si="183"/>
        <v>0</v>
      </c>
      <c r="I163" s="25">
        <f t="shared" si="183"/>
        <v>0</v>
      </c>
      <c r="J163" s="25">
        <f t="shared" si="183"/>
        <v>0</v>
      </c>
      <c r="K163" s="25">
        <f t="shared" si="183"/>
        <v>0</v>
      </c>
      <c r="L163" s="25">
        <f t="shared" si="183"/>
        <v>0</v>
      </c>
      <c r="M163" s="25">
        <f t="shared" si="183"/>
        <v>0</v>
      </c>
      <c r="N163" s="25">
        <f t="shared" si="183"/>
        <v>0</v>
      </c>
      <c r="O163" s="25">
        <f t="shared" si="183"/>
        <v>0</v>
      </c>
      <c r="P163" s="25">
        <f t="shared" si="183"/>
        <v>0</v>
      </c>
      <c r="Q163" s="25">
        <f t="shared" si="183"/>
        <v>0</v>
      </c>
      <c r="R163" s="25">
        <f t="shared" si="183"/>
        <v>0</v>
      </c>
      <c r="S163" s="25">
        <f t="shared" si="183"/>
        <v>0</v>
      </c>
      <c r="T163" s="25">
        <f t="shared" si="183"/>
        <v>0</v>
      </c>
      <c r="U163" s="25">
        <f t="shared" si="183"/>
        <v>0</v>
      </c>
      <c r="V163" s="25">
        <f t="shared" ref="V163:X163" si="184">SUM(V160:V162)</f>
        <v>0</v>
      </c>
      <c r="W163" s="25">
        <f t="shared" si="184"/>
        <v>0</v>
      </c>
      <c r="X163" s="25">
        <f t="shared" si="184"/>
        <v>0</v>
      </c>
      <c r="Y163" s="25">
        <f t="shared" si="179"/>
        <v>2971903888.2716346</v>
      </c>
      <c r="Z163" s="42" t="s">
        <v>195</v>
      </c>
    </row>
    <row r="164" spans="2:26" ht="15" customHeight="1" outlineLevel="1" x14ac:dyDescent="0.3">
      <c r="B164" s="35" t="s">
        <v>186</v>
      </c>
      <c r="C164" s="13" t="s">
        <v>119</v>
      </c>
      <c r="D164" s="13" t="s">
        <v>167</v>
      </c>
      <c r="E164" s="25">
        <f>E160+E161*1.5+E162*3</f>
        <v>4824600385.2936859</v>
      </c>
      <c r="F164" s="25">
        <f t="shared" ref="F164:U164" si="185">F160+F161*1.5+F162*3</f>
        <v>0</v>
      </c>
      <c r="G164" s="25">
        <f t="shared" si="185"/>
        <v>0</v>
      </c>
      <c r="H164" s="25">
        <f t="shared" si="185"/>
        <v>0</v>
      </c>
      <c r="I164" s="25">
        <f t="shared" si="185"/>
        <v>0</v>
      </c>
      <c r="J164" s="25">
        <f t="shared" si="185"/>
        <v>0</v>
      </c>
      <c r="K164" s="25">
        <f t="shared" si="185"/>
        <v>0</v>
      </c>
      <c r="L164" s="25">
        <f t="shared" si="185"/>
        <v>0</v>
      </c>
      <c r="M164" s="25">
        <f t="shared" si="185"/>
        <v>0</v>
      </c>
      <c r="N164" s="25">
        <f t="shared" si="185"/>
        <v>0</v>
      </c>
      <c r="O164" s="25">
        <f t="shared" si="185"/>
        <v>0</v>
      </c>
      <c r="P164" s="25">
        <f t="shared" si="185"/>
        <v>0</v>
      </c>
      <c r="Q164" s="25">
        <f t="shared" si="185"/>
        <v>0</v>
      </c>
      <c r="R164" s="25">
        <f t="shared" si="185"/>
        <v>0</v>
      </c>
      <c r="S164" s="25">
        <f t="shared" si="185"/>
        <v>0</v>
      </c>
      <c r="T164" s="25">
        <f t="shared" si="185"/>
        <v>0</v>
      </c>
      <c r="U164" s="25">
        <f t="shared" si="185"/>
        <v>0</v>
      </c>
      <c r="V164" s="25">
        <f t="shared" ref="V164:X164" si="186">V160+V161*1.5+V162*3</f>
        <v>0</v>
      </c>
      <c r="W164" s="25">
        <f t="shared" si="186"/>
        <v>0</v>
      </c>
      <c r="X164" s="25">
        <f t="shared" si="186"/>
        <v>0</v>
      </c>
      <c r="Y164" s="25">
        <f t="shared" si="179"/>
        <v>4824600385.2936859</v>
      </c>
      <c r="Z164" s="42" t="s">
        <v>196</v>
      </c>
    </row>
    <row r="165" spans="2:26" ht="15" customHeight="1" x14ac:dyDescent="0.3">
      <c r="B165" s="6" t="s">
        <v>175</v>
      </c>
    </row>
    <row r="166" spans="2:26" ht="15" customHeight="1" outlineLevel="1" x14ac:dyDescent="0.3">
      <c r="B166" s="35" t="s">
        <v>186</v>
      </c>
      <c r="C166" s="13" t="s">
        <v>119</v>
      </c>
      <c r="D166" s="13" t="s">
        <v>132</v>
      </c>
      <c r="E166" s="25">
        <f>E148*365</f>
        <v>20739244854.759544</v>
      </c>
      <c r="F166" s="25">
        <f t="shared" ref="F166:U168" si="187">F148*365</f>
        <v>0</v>
      </c>
      <c r="G166" s="25">
        <f t="shared" si="187"/>
        <v>0</v>
      </c>
      <c r="H166" s="25">
        <f t="shared" si="187"/>
        <v>0</v>
      </c>
      <c r="I166" s="25">
        <f t="shared" si="187"/>
        <v>0</v>
      </c>
      <c r="J166" s="25">
        <f t="shared" si="187"/>
        <v>0</v>
      </c>
      <c r="K166" s="25">
        <f t="shared" si="187"/>
        <v>0</v>
      </c>
      <c r="L166" s="25">
        <f t="shared" si="187"/>
        <v>0</v>
      </c>
      <c r="M166" s="25">
        <f t="shared" si="187"/>
        <v>0</v>
      </c>
      <c r="N166" s="25">
        <f t="shared" si="187"/>
        <v>0</v>
      </c>
      <c r="O166" s="25">
        <f t="shared" si="187"/>
        <v>0</v>
      </c>
      <c r="P166" s="25">
        <f t="shared" si="187"/>
        <v>0</v>
      </c>
      <c r="Q166" s="25">
        <f t="shared" si="187"/>
        <v>0</v>
      </c>
      <c r="R166" s="25">
        <f t="shared" si="187"/>
        <v>0</v>
      </c>
      <c r="S166" s="25">
        <f t="shared" si="187"/>
        <v>0</v>
      </c>
      <c r="T166" s="25">
        <f t="shared" si="187"/>
        <v>0</v>
      </c>
      <c r="U166" s="25">
        <f t="shared" si="187"/>
        <v>0</v>
      </c>
      <c r="V166" s="25">
        <f t="shared" ref="V166:X166" si="188">V148*365</f>
        <v>0</v>
      </c>
      <c r="W166" s="25">
        <f t="shared" si="188"/>
        <v>0</v>
      </c>
      <c r="X166" s="25">
        <f t="shared" si="188"/>
        <v>0</v>
      </c>
      <c r="Y166" s="25">
        <f t="shared" ref="Y166:Y170" si="189">SUM(E166:X166)</f>
        <v>20739244854.759544</v>
      </c>
      <c r="Z166" s="42" t="s">
        <v>192</v>
      </c>
    </row>
    <row r="167" spans="2:26" ht="15" customHeight="1" outlineLevel="1" x14ac:dyDescent="0.3">
      <c r="B167" s="35" t="s">
        <v>186</v>
      </c>
      <c r="C167" s="13" t="s">
        <v>119</v>
      </c>
      <c r="D167" s="13" t="s">
        <v>133</v>
      </c>
      <c r="E167" s="25">
        <f t="shared" ref="E167:E168" si="190">E149*365</f>
        <v>4460697549.0355434</v>
      </c>
      <c r="F167" s="25">
        <f t="shared" si="187"/>
        <v>0</v>
      </c>
      <c r="G167" s="25">
        <f t="shared" si="187"/>
        <v>0</v>
      </c>
      <c r="H167" s="25">
        <f t="shared" si="187"/>
        <v>0</v>
      </c>
      <c r="I167" s="25">
        <f t="shared" si="187"/>
        <v>0</v>
      </c>
      <c r="J167" s="25">
        <f t="shared" si="187"/>
        <v>0</v>
      </c>
      <c r="K167" s="25">
        <f t="shared" si="187"/>
        <v>0</v>
      </c>
      <c r="L167" s="25">
        <f t="shared" si="187"/>
        <v>0</v>
      </c>
      <c r="M167" s="25">
        <f t="shared" si="187"/>
        <v>0</v>
      </c>
      <c r="N167" s="25">
        <f t="shared" si="187"/>
        <v>0</v>
      </c>
      <c r="O167" s="25">
        <f t="shared" si="187"/>
        <v>0</v>
      </c>
      <c r="P167" s="25">
        <f t="shared" si="187"/>
        <v>0</v>
      </c>
      <c r="Q167" s="25">
        <f t="shared" si="187"/>
        <v>0</v>
      </c>
      <c r="R167" s="25">
        <f t="shared" si="187"/>
        <v>0</v>
      </c>
      <c r="S167" s="25">
        <f t="shared" si="187"/>
        <v>0</v>
      </c>
      <c r="T167" s="25">
        <f t="shared" si="187"/>
        <v>0</v>
      </c>
      <c r="U167" s="25">
        <f t="shared" si="187"/>
        <v>0</v>
      </c>
      <c r="V167" s="25">
        <f t="shared" ref="V167:X167" si="191">V149*365</f>
        <v>0</v>
      </c>
      <c r="W167" s="25">
        <f t="shared" si="191"/>
        <v>0</v>
      </c>
      <c r="X167" s="25">
        <f t="shared" si="191"/>
        <v>0</v>
      </c>
      <c r="Y167" s="25">
        <f t="shared" si="189"/>
        <v>4460697549.0355434</v>
      </c>
      <c r="Z167" s="42" t="s">
        <v>193</v>
      </c>
    </row>
    <row r="168" spans="2:26" ht="15" customHeight="1" outlineLevel="1" x14ac:dyDescent="0.3">
      <c r="B168" s="35" t="s">
        <v>186</v>
      </c>
      <c r="C168" s="13" t="s">
        <v>119</v>
      </c>
      <c r="D168" s="13" t="s">
        <v>134</v>
      </c>
      <c r="E168" s="25">
        <f t="shared" si="190"/>
        <v>9791829183.9193211</v>
      </c>
      <c r="F168" s="25">
        <f t="shared" si="187"/>
        <v>0</v>
      </c>
      <c r="G168" s="25">
        <f t="shared" si="187"/>
        <v>0</v>
      </c>
      <c r="H168" s="25">
        <f t="shared" si="187"/>
        <v>0</v>
      </c>
      <c r="I168" s="25">
        <f t="shared" si="187"/>
        <v>0</v>
      </c>
      <c r="J168" s="25">
        <f t="shared" si="187"/>
        <v>0</v>
      </c>
      <c r="K168" s="25">
        <f t="shared" si="187"/>
        <v>0</v>
      </c>
      <c r="L168" s="25">
        <f t="shared" si="187"/>
        <v>0</v>
      </c>
      <c r="M168" s="25">
        <f t="shared" si="187"/>
        <v>0</v>
      </c>
      <c r="N168" s="25">
        <f t="shared" si="187"/>
        <v>0</v>
      </c>
      <c r="O168" s="25">
        <f t="shared" si="187"/>
        <v>0</v>
      </c>
      <c r="P168" s="25">
        <f t="shared" si="187"/>
        <v>0</v>
      </c>
      <c r="Q168" s="25">
        <f t="shared" si="187"/>
        <v>0</v>
      </c>
      <c r="R168" s="25">
        <f t="shared" si="187"/>
        <v>0</v>
      </c>
      <c r="S168" s="25">
        <f t="shared" si="187"/>
        <v>0</v>
      </c>
      <c r="T168" s="25">
        <f t="shared" si="187"/>
        <v>0</v>
      </c>
      <c r="U168" s="25">
        <f t="shared" si="187"/>
        <v>0</v>
      </c>
      <c r="V168" s="25">
        <f t="shared" ref="V168:X168" si="192">V150*365</f>
        <v>0</v>
      </c>
      <c r="W168" s="25">
        <f t="shared" si="192"/>
        <v>0</v>
      </c>
      <c r="X168" s="25">
        <f t="shared" si="192"/>
        <v>0</v>
      </c>
      <c r="Y168" s="25">
        <f t="shared" si="189"/>
        <v>9791829183.9193211</v>
      </c>
      <c r="Z168" s="42" t="s">
        <v>194</v>
      </c>
    </row>
    <row r="169" spans="2:26" ht="15" customHeight="1" outlineLevel="1" x14ac:dyDescent="0.3">
      <c r="B169" s="35" t="s">
        <v>186</v>
      </c>
      <c r="C169" s="13" t="s">
        <v>119</v>
      </c>
      <c r="D169" s="13" t="s">
        <v>159</v>
      </c>
      <c r="E169" s="25">
        <f>SUM(E166:E168)</f>
        <v>34991771587.714409</v>
      </c>
      <c r="F169" s="25">
        <f t="shared" ref="F169:U169" si="193">SUM(F166:F168)</f>
        <v>0</v>
      </c>
      <c r="G169" s="25">
        <f t="shared" si="193"/>
        <v>0</v>
      </c>
      <c r="H169" s="25">
        <f t="shared" si="193"/>
        <v>0</v>
      </c>
      <c r="I169" s="25">
        <f t="shared" si="193"/>
        <v>0</v>
      </c>
      <c r="J169" s="25">
        <f t="shared" si="193"/>
        <v>0</v>
      </c>
      <c r="K169" s="25">
        <f t="shared" si="193"/>
        <v>0</v>
      </c>
      <c r="L169" s="25">
        <f t="shared" si="193"/>
        <v>0</v>
      </c>
      <c r="M169" s="25">
        <f t="shared" si="193"/>
        <v>0</v>
      </c>
      <c r="N169" s="25">
        <f t="shared" si="193"/>
        <v>0</v>
      </c>
      <c r="O169" s="25">
        <f t="shared" si="193"/>
        <v>0</v>
      </c>
      <c r="P169" s="25">
        <f t="shared" si="193"/>
        <v>0</v>
      </c>
      <c r="Q169" s="25">
        <f t="shared" si="193"/>
        <v>0</v>
      </c>
      <c r="R169" s="25">
        <f t="shared" si="193"/>
        <v>0</v>
      </c>
      <c r="S169" s="25">
        <f t="shared" si="193"/>
        <v>0</v>
      </c>
      <c r="T169" s="25">
        <f t="shared" si="193"/>
        <v>0</v>
      </c>
      <c r="U169" s="25">
        <f t="shared" si="193"/>
        <v>0</v>
      </c>
      <c r="V169" s="25">
        <f t="shared" ref="V169:X169" si="194">SUM(V166:V168)</f>
        <v>0</v>
      </c>
      <c r="W169" s="25">
        <f t="shared" si="194"/>
        <v>0</v>
      </c>
      <c r="X169" s="25">
        <f t="shared" si="194"/>
        <v>0</v>
      </c>
      <c r="Y169" s="26">
        <f t="shared" si="189"/>
        <v>34991771587.714409</v>
      </c>
      <c r="Z169" s="42" t="s">
        <v>195</v>
      </c>
    </row>
    <row r="170" spans="2:26" ht="15" customHeight="1" outlineLevel="1" x14ac:dyDescent="0.3">
      <c r="B170" s="35" t="s">
        <v>186</v>
      </c>
      <c r="C170" s="13" t="s">
        <v>119</v>
      </c>
      <c r="D170" s="13" t="s">
        <v>168</v>
      </c>
      <c r="E170" s="25">
        <f>E166+E167*1.5+E168*3</f>
        <v>56805778730.070824</v>
      </c>
      <c r="F170" s="25">
        <f t="shared" ref="F170:U170" si="195">F166+F167*1.5+F168*3</f>
        <v>0</v>
      </c>
      <c r="G170" s="25">
        <f t="shared" si="195"/>
        <v>0</v>
      </c>
      <c r="H170" s="25">
        <f t="shared" si="195"/>
        <v>0</v>
      </c>
      <c r="I170" s="25">
        <f t="shared" si="195"/>
        <v>0</v>
      </c>
      <c r="J170" s="25">
        <f t="shared" si="195"/>
        <v>0</v>
      </c>
      <c r="K170" s="25">
        <f t="shared" si="195"/>
        <v>0</v>
      </c>
      <c r="L170" s="25">
        <f t="shared" si="195"/>
        <v>0</v>
      </c>
      <c r="M170" s="25">
        <f t="shared" si="195"/>
        <v>0</v>
      </c>
      <c r="N170" s="25">
        <f t="shared" si="195"/>
        <v>0</v>
      </c>
      <c r="O170" s="25">
        <f t="shared" si="195"/>
        <v>0</v>
      </c>
      <c r="P170" s="25">
        <f t="shared" si="195"/>
        <v>0</v>
      </c>
      <c r="Q170" s="25">
        <f t="shared" si="195"/>
        <v>0</v>
      </c>
      <c r="R170" s="25">
        <f t="shared" si="195"/>
        <v>0</v>
      </c>
      <c r="S170" s="25">
        <f t="shared" si="195"/>
        <v>0</v>
      </c>
      <c r="T170" s="25">
        <f t="shared" si="195"/>
        <v>0</v>
      </c>
      <c r="U170" s="25">
        <f t="shared" si="195"/>
        <v>0</v>
      </c>
      <c r="V170" s="25">
        <f t="shared" ref="V170:X170" si="196">V166+V167*1.5+V168*3</f>
        <v>0</v>
      </c>
      <c r="W170" s="25">
        <f t="shared" si="196"/>
        <v>0</v>
      </c>
      <c r="X170" s="25">
        <f t="shared" si="196"/>
        <v>0</v>
      </c>
      <c r="Y170" s="26">
        <f t="shared" si="189"/>
        <v>56805778730.070824</v>
      </c>
      <c r="Z170" s="42" t="s">
        <v>196</v>
      </c>
    </row>
    <row r="171" spans="2:26" ht="15" customHeight="1" x14ac:dyDescent="0.3"/>
  </sheetData>
  <mergeCells count="24">
    <mergeCell ref="P3:S3"/>
    <mergeCell ref="E2:F2"/>
    <mergeCell ref="G2:H2"/>
    <mergeCell ref="I2:J2"/>
    <mergeCell ref="K2:L2"/>
    <mergeCell ref="M2:N2"/>
    <mergeCell ref="P2:S2"/>
    <mergeCell ref="E3:F3"/>
    <mergeCell ref="G3:H3"/>
    <mergeCell ref="I3:J3"/>
    <mergeCell ref="K3:L3"/>
    <mergeCell ref="M3:N3"/>
    <mergeCell ref="I4:J4"/>
    <mergeCell ref="K4:L4"/>
    <mergeCell ref="M4:N4"/>
    <mergeCell ref="P4:S4"/>
    <mergeCell ref="K5:L5"/>
    <mergeCell ref="M5:N5"/>
    <mergeCell ref="P5:S5"/>
    <mergeCell ref="C9:C15"/>
    <mergeCell ref="C17:C29"/>
    <mergeCell ref="C31:C33"/>
    <mergeCell ref="C35:C38"/>
    <mergeCell ref="G4:H4"/>
  </mergeCells>
  <conditionalFormatting sqref="C40 C42 C44 C46 C48 C50 C52 C54 C56 C58 C60 C62 C64 C66 C68">
    <cfRule type="cellIs" dxfId="22" priority="7" operator="equal">
      <formula>"Inactif"</formula>
    </cfRule>
    <cfRule type="cellIs" dxfId="21" priority="8" operator="equal">
      <formula>"Actif"</formula>
    </cfRule>
  </conditionalFormatting>
  <conditionalFormatting sqref="E2:F3 I2:J4 M2:N5 E17:X29 E31:X33 E35:X38 E12:X14">
    <cfRule type="cellIs" dxfId="20" priority="11" operator="equal">
      <formula>0</formula>
    </cfRule>
    <cfRule type="containsBlanks" dxfId="19" priority="12">
      <formula>LEN(TRIM(E2))=0</formula>
    </cfRule>
  </conditionalFormatting>
  <conditionalFormatting sqref="E15:X15">
    <cfRule type="cellIs" dxfId="18" priority="9" operator="equal">
      <formula>"UP"</formula>
    </cfRule>
    <cfRule type="cellIs" dxfId="17" priority="10" operator="equal">
      <formula>"OK"</formula>
    </cfRule>
  </conditionalFormatting>
  <conditionalFormatting sqref="E40:X69">
    <cfRule type="cellIs" dxfId="16" priority="5" operator="equal">
      <formula>0</formula>
    </cfRule>
    <cfRule type="containsBlanks" dxfId="15" priority="6">
      <formula>LEN(TRIM(E40))=0</formula>
    </cfRule>
  </conditionalFormatting>
  <conditionalFormatting sqref="F9:X11">
    <cfRule type="cellIs" dxfId="3" priority="3" operator="equal">
      <formula>0</formula>
    </cfRule>
    <cfRule type="containsBlanks" dxfId="2" priority="4">
      <formula>LEN(TRIM(F9))=0</formula>
    </cfRule>
  </conditionalFormatting>
  <conditionalFormatting sqref="E9:E11">
    <cfRule type="cellIs" dxfId="1" priority="1" operator="equal">
      <formula>0</formula>
    </cfRule>
    <cfRule type="containsBlanks" dxfId="0" priority="2">
      <formula>LEN(TRIM(E9))=0</formula>
    </cfRule>
  </conditionalFormatting>
  <dataValidations count="4">
    <dataValidation type="list" allowBlank="1" showInputMessage="1" showErrorMessage="1" sqref="C40 C42 C44 C46 C48 C50 C52 C54 C56 C58 C60 C62 C64 C66 C68" xr:uid="{AB4F6107-072C-4109-B4EE-FF5919D85362}">
      <formula1>L_ACTI_INACTI</formula1>
    </dataValidation>
    <dataValidation type="list" allowBlank="1" showInputMessage="1" showErrorMessage="1" sqref="E3:F3" xr:uid="{F01F9ACE-B3BA-4132-8CF7-47267E76200F}">
      <formula1>L_CLASSE</formula1>
    </dataValidation>
    <dataValidation type="list" allowBlank="1" showInputMessage="1" showErrorMessage="1" sqref="E13:X13" xr:uid="{97BA2C46-15D1-4C12-830B-35634EC0505F}">
      <formula1>L_FDV</formula1>
    </dataValidation>
    <dataValidation type="list" allowBlank="1" showInputMessage="1" showErrorMessage="1" sqref="I2:J4" xr:uid="{3404FC6A-48FD-46F7-862A-4C10F3865604}">
      <formula1>L_ON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1F28-0141-4B33-B70B-D52B182CE002}">
  <dimension ref="B1:Z171"/>
  <sheetViews>
    <sheetView showGridLines="0" zoomScale="70" zoomScaleNormal="70" workbookViewId="0">
      <pane ySplit="16" topLeftCell="A17" activePane="bottomLeft" state="frozen"/>
      <selection pane="bottomLeft"/>
    </sheetView>
  </sheetViews>
  <sheetFormatPr baseColWidth="10" defaultColWidth="11.44140625" defaultRowHeight="14.4" outlineLevelRow="2" x14ac:dyDescent="0.3"/>
  <cols>
    <col min="1" max="1" width="2.5546875" customWidth="1"/>
    <col min="2" max="2" width="12.109375" customWidth="1"/>
    <col min="3" max="3" width="10.109375" customWidth="1"/>
    <col min="4" max="4" width="43.88671875" bestFit="1" customWidth="1"/>
    <col min="5" max="25" width="10.33203125" customWidth="1"/>
    <col min="26" max="26" width="5.5546875" customWidth="1"/>
  </cols>
  <sheetData>
    <row r="1" spans="2:25" ht="6" customHeight="1" x14ac:dyDescent="0.3"/>
    <row r="2" spans="2:25" ht="14.4" customHeight="1" x14ac:dyDescent="0.3">
      <c r="K2" s="59" t="s">
        <v>228</v>
      </c>
      <c r="L2" s="59"/>
      <c r="M2" s="62">
        <f>'2. Simulation'!M2-'1. Base'!M2</f>
        <v>0</v>
      </c>
      <c r="N2" s="63"/>
      <c r="P2" s="58" t="s">
        <v>223</v>
      </c>
      <c r="Q2" s="58"/>
      <c r="R2" s="58"/>
      <c r="S2" s="58"/>
      <c r="T2" s="27">
        <f>Y41+Y43+Y47+Y49+Y57+Y59+Y69</f>
        <v>7.219999999999999E-3</v>
      </c>
    </row>
    <row r="3" spans="2:25" x14ac:dyDescent="0.3">
      <c r="D3" s="9" t="s">
        <v>227</v>
      </c>
      <c r="E3" s="59" t="str">
        <f>IF('2. Simulation'!E3='1. Base'!E3,"RAS","Changement de Classe")</f>
        <v>RAS</v>
      </c>
      <c r="F3" s="59"/>
      <c r="K3" s="59" t="s">
        <v>229</v>
      </c>
      <c r="L3" s="59"/>
      <c r="M3" s="62">
        <f>'2. Simulation'!M3-'1. Base'!M3</f>
        <v>0</v>
      </c>
      <c r="N3" s="63"/>
      <c r="P3" s="58" t="s">
        <v>224</v>
      </c>
      <c r="Q3" s="58"/>
      <c r="R3" s="58"/>
      <c r="S3" s="58"/>
      <c r="T3" s="27">
        <f>Y41+Y43+Y47+Y49+Y69</f>
        <v>4.7399999999999977E-3</v>
      </c>
    </row>
    <row r="4" spans="2:25" x14ac:dyDescent="0.3">
      <c r="E4" s="2"/>
      <c r="F4" s="2"/>
      <c r="K4" s="59" t="s">
        <v>230</v>
      </c>
      <c r="L4" s="59"/>
      <c r="M4" s="62">
        <f>'2. Simulation'!M4-'1. Base'!M4</f>
        <v>0</v>
      </c>
      <c r="N4" s="63"/>
      <c r="P4" s="58" t="s">
        <v>225</v>
      </c>
      <c r="Q4" s="58"/>
      <c r="R4" s="58"/>
      <c r="S4" s="58"/>
      <c r="T4" s="27">
        <f>Y41+Y43+Y45+Y47+Y49+Y53+Y69</f>
        <v>7.8599999999999989E-3</v>
      </c>
    </row>
    <row r="5" spans="2:25" ht="15" customHeight="1" x14ac:dyDescent="0.3">
      <c r="D5" s="37"/>
      <c r="K5" s="59" t="s">
        <v>231</v>
      </c>
      <c r="L5" s="59"/>
      <c r="M5" s="62">
        <f>'2. Simulation'!M5-'1. Base'!M5</f>
        <v>0</v>
      </c>
      <c r="N5" s="63"/>
      <c r="P5" s="58" t="s">
        <v>226</v>
      </c>
      <c r="Q5" s="58"/>
      <c r="R5" s="58"/>
      <c r="S5" s="58"/>
      <c r="T5" s="27">
        <f>Y65</f>
        <v>0</v>
      </c>
    </row>
    <row r="6" spans="2:25" ht="23.25" customHeight="1" x14ac:dyDescent="0.3">
      <c r="B6" s="36" t="s">
        <v>186</v>
      </c>
      <c r="C6" s="37" t="s">
        <v>188</v>
      </c>
      <c r="D6" s="37"/>
    </row>
    <row r="7" spans="2:25" ht="23.25" customHeight="1" x14ac:dyDescent="0.45">
      <c r="B7" s="38" t="s">
        <v>186</v>
      </c>
      <c r="C7" s="39" t="s">
        <v>191</v>
      </c>
    </row>
    <row r="8" spans="2:25" ht="30.9" customHeight="1" x14ac:dyDescent="0.3">
      <c r="D8" s="28" t="s">
        <v>181</v>
      </c>
      <c r="E8" s="29" t="s">
        <v>3</v>
      </c>
      <c r="F8" s="29" t="s">
        <v>4</v>
      </c>
      <c r="G8" s="29" t="s">
        <v>5</v>
      </c>
      <c r="H8" s="29" t="s">
        <v>6</v>
      </c>
      <c r="I8" s="29" t="s">
        <v>7</v>
      </c>
      <c r="J8" s="29" t="s">
        <v>8</v>
      </c>
      <c r="K8" s="29" t="s">
        <v>9</v>
      </c>
      <c r="L8" s="29" t="s">
        <v>10</v>
      </c>
      <c r="M8" s="29" t="s">
        <v>11</v>
      </c>
      <c r="N8" s="29" t="s">
        <v>12</v>
      </c>
      <c r="O8" s="29" t="s">
        <v>13</v>
      </c>
      <c r="P8" s="29" t="s">
        <v>14</v>
      </c>
      <c r="Q8" s="29" t="s">
        <v>15</v>
      </c>
      <c r="R8" s="29" t="s">
        <v>16</v>
      </c>
      <c r="S8" s="29" t="s">
        <v>17</v>
      </c>
      <c r="T8" s="29" t="s">
        <v>18</v>
      </c>
      <c r="U8" s="29" t="s">
        <v>19</v>
      </c>
      <c r="V8" s="29" t="s">
        <v>20</v>
      </c>
      <c r="W8" s="29" t="s">
        <v>21</v>
      </c>
      <c r="X8" s="29" t="s">
        <v>22</v>
      </c>
      <c r="Y8" s="30" t="s">
        <v>23</v>
      </c>
    </row>
    <row r="9" spans="2:25" x14ac:dyDescent="0.3">
      <c r="B9" s="34" t="s">
        <v>186</v>
      </c>
      <c r="C9" s="57" t="s">
        <v>187</v>
      </c>
      <c r="D9" s="7" t="s">
        <v>182</v>
      </c>
      <c r="E9" s="8" t="str">
        <f>'1. Base'!E9</f>
        <v>Birgitte</v>
      </c>
      <c r="F9" s="8">
        <f>'1. Base'!F9</f>
        <v>0</v>
      </c>
      <c r="G9" s="8">
        <f>'1. Base'!G9</f>
        <v>0</v>
      </c>
      <c r="H9" s="8">
        <f>'1. Base'!H9</f>
        <v>0</v>
      </c>
      <c r="I9" s="8">
        <f>'1. Base'!I9</f>
        <v>0</v>
      </c>
      <c r="J9" s="8">
        <f>'1. Base'!J9</f>
        <v>0</v>
      </c>
      <c r="K9" s="8">
        <f>'1. Base'!K9</f>
        <v>0</v>
      </c>
      <c r="L9" s="8">
        <f>'1. Base'!L9</f>
        <v>0</v>
      </c>
      <c r="M9" s="8">
        <f>'1. Base'!M9</f>
        <v>0</v>
      </c>
      <c r="N9" s="8">
        <f>'1. Base'!N9</f>
        <v>0</v>
      </c>
      <c r="O9" s="8">
        <f>'1. Base'!O9</f>
        <v>0</v>
      </c>
      <c r="P9" s="8">
        <f>'1. Base'!P9</f>
        <v>0</v>
      </c>
      <c r="Q9" s="8">
        <f>'1. Base'!Q9</f>
        <v>0</v>
      </c>
      <c r="R9" s="8">
        <f>'1. Base'!R9</f>
        <v>0</v>
      </c>
      <c r="S9" s="8">
        <f>'1. Base'!S9</f>
        <v>0</v>
      </c>
      <c r="T9" s="8">
        <f>'1. Base'!T9</f>
        <v>0</v>
      </c>
      <c r="U9" s="8">
        <f>'1. Base'!U9</f>
        <v>0</v>
      </c>
      <c r="V9" s="8">
        <f>'1. Base'!V9</f>
        <v>0</v>
      </c>
      <c r="W9" s="8">
        <f>'1. Base'!W9</f>
        <v>0</v>
      </c>
      <c r="X9" s="8">
        <f>'1. Base'!X9</f>
        <v>0</v>
      </c>
      <c r="Y9" s="9"/>
    </row>
    <row r="10" spans="2:25" x14ac:dyDescent="0.3">
      <c r="B10" s="34" t="s">
        <v>186</v>
      </c>
      <c r="C10" s="57"/>
      <c r="D10" s="7" t="s">
        <v>183</v>
      </c>
      <c r="E10" s="10" t="str">
        <f>'1. Base'!E10</f>
        <v>3:198:15</v>
      </c>
      <c r="F10" s="10">
        <f>'1. Base'!F10</f>
        <v>0</v>
      </c>
      <c r="G10" s="10">
        <f>'1. Base'!G10</f>
        <v>0</v>
      </c>
      <c r="H10" s="10">
        <f>'1. Base'!H10</f>
        <v>0</v>
      </c>
      <c r="I10" s="10">
        <f>'1. Base'!I10</f>
        <v>0</v>
      </c>
      <c r="J10" s="10">
        <f>'1. Base'!J10</f>
        <v>0</v>
      </c>
      <c r="K10" s="10">
        <f>'1. Base'!K10</f>
        <v>0</v>
      </c>
      <c r="L10" s="10">
        <f>'1. Base'!L10</f>
        <v>0</v>
      </c>
      <c r="M10" s="10">
        <f>'1. Base'!M10</f>
        <v>0</v>
      </c>
      <c r="N10" s="10">
        <f>'1. Base'!N10</f>
        <v>0</v>
      </c>
      <c r="O10" s="10">
        <f>'1. Base'!O10</f>
        <v>0</v>
      </c>
      <c r="P10" s="10">
        <f>'1. Base'!P10</f>
        <v>0</v>
      </c>
      <c r="Q10" s="10">
        <f>'1. Base'!Q10</f>
        <v>0</v>
      </c>
      <c r="R10" s="10">
        <f>'1. Base'!R10</f>
        <v>0</v>
      </c>
      <c r="S10" s="10">
        <f>'1. Base'!S10</f>
        <v>0</v>
      </c>
      <c r="T10" s="10">
        <f>'1. Base'!T10</f>
        <v>0</v>
      </c>
      <c r="U10" s="10">
        <f>'1. Base'!U10</f>
        <v>0</v>
      </c>
      <c r="V10" s="10">
        <f>'1. Base'!V10</f>
        <v>0</v>
      </c>
      <c r="W10" s="10">
        <f>'1. Base'!W10</f>
        <v>0</v>
      </c>
      <c r="X10" s="10">
        <f>'1. Base'!X10</f>
        <v>0</v>
      </c>
      <c r="Y10" s="9"/>
    </row>
    <row r="11" spans="2:25" x14ac:dyDescent="0.3">
      <c r="B11" s="34" t="s">
        <v>186</v>
      </c>
      <c r="C11" s="57"/>
      <c r="D11" s="7" t="s">
        <v>184</v>
      </c>
      <c r="E11" s="8">
        <f>'1. Base'!E11</f>
        <v>15</v>
      </c>
      <c r="F11" s="8">
        <f>'1. Base'!F11</f>
        <v>0</v>
      </c>
      <c r="G11" s="8">
        <f>'1. Base'!G11</f>
        <v>0</v>
      </c>
      <c r="H11" s="8">
        <f>'1. Base'!H11</f>
        <v>0</v>
      </c>
      <c r="I11" s="8">
        <f>'1. Base'!I11</f>
        <v>0</v>
      </c>
      <c r="J11" s="8">
        <f>'1. Base'!J11</f>
        <v>0</v>
      </c>
      <c r="K11" s="8">
        <f>'1. Base'!K11</f>
        <v>0</v>
      </c>
      <c r="L11" s="8">
        <f>'1. Base'!L11</f>
        <v>0</v>
      </c>
      <c r="M11" s="8">
        <f>'1. Base'!M11</f>
        <v>0</v>
      </c>
      <c r="N11" s="8">
        <f>'1. Base'!N11</f>
        <v>0</v>
      </c>
      <c r="O11" s="8">
        <f>'1. Base'!O11</f>
        <v>0</v>
      </c>
      <c r="P11" s="8">
        <f>'1. Base'!P11</f>
        <v>0</v>
      </c>
      <c r="Q11" s="8">
        <f>'1. Base'!Q11</f>
        <v>0</v>
      </c>
      <c r="R11" s="8">
        <f>'1. Base'!R11</f>
        <v>0</v>
      </c>
      <c r="S11" s="8">
        <f>'1. Base'!S11</f>
        <v>0</v>
      </c>
      <c r="T11" s="8">
        <f>'1. Base'!T11</f>
        <v>0</v>
      </c>
      <c r="U11" s="8">
        <f>'1. Base'!U11</f>
        <v>0</v>
      </c>
      <c r="V11" s="8">
        <f>'1. Base'!V11</f>
        <v>0</v>
      </c>
      <c r="W11" s="8">
        <f>'1. Base'!W11</f>
        <v>0</v>
      </c>
      <c r="X11" s="8">
        <f>'1. Base'!X11</f>
        <v>0</v>
      </c>
      <c r="Y11" s="9"/>
    </row>
    <row r="12" spans="2:25" ht="15" customHeight="1" x14ac:dyDescent="0.3">
      <c r="B12" s="34" t="s">
        <v>186</v>
      </c>
      <c r="C12" s="57"/>
      <c r="D12" s="7" t="s">
        <v>25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11"/>
    </row>
    <row r="13" spans="2:25" ht="15" customHeight="1" x14ac:dyDescent="0.3">
      <c r="B13" s="34" t="s">
        <v>186</v>
      </c>
      <c r="C13" s="57"/>
      <c r="D13" s="7" t="s">
        <v>26</v>
      </c>
      <c r="E13" s="9" t="str">
        <f>IF('2. Simulation'!E13='1. Base'!E13,"RAS","SWITCH")</f>
        <v>SWITCH</v>
      </c>
      <c r="F13" s="9" t="str">
        <f>IF('2. Simulation'!F13='1. Base'!F13,"RAS","SWITCH")</f>
        <v>RAS</v>
      </c>
      <c r="G13" s="9" t="str">
        <f>IF('2. Simulation'!G13='1. Base'!G13,"RAS","SWITCH")</f>
        <v>RAS</v>
      </c>
      <c r="H13" s="9" t="str">
        <f>IF('2. Simulation'!H13='1. Base'!H13,"RAS","SWITCH")</f>
        <v>RAS</v>
      </c>
      <c r="I13" s="9" t="str">
        <f>IF('2. Simulation'!I13='1. Base'!I13,"RAS","SWITCH")</f>
        <v>RAS</v>
      </c>
      <c r="J13" s="9" t="str">
        <f>IF('2. Simulation'!J13='1. Base'!J13,"RAS","SWITCH")</f>
        <v>RAS</v>
      </c>
      <c r="K13" s="9" t="str">
        <f>IF('2. Simulation'!K13='1. Base'!K13,"RAS","SWITCH")</f>
        <v>RAS</v>
      </c>
      <c r="L13" s="9" t="str">
        <f>IF('2. Simulation'!L13='1. Base'!L13,"RAS","SWITCH")</f>
        <v>RAS</v>
      </c>
      <c r="M13" s="9" t="str">
        <f>IF('2. Simulation'!M13='1. Base'!M13,"RAS","SWITCH")</f>
        <v>RAS</v>
      </c>
      <c r="N13" s="9" t="str">
        <f>IF('2. Simulation'!N13='1. Base'!N13,"RAS","SWITCH")</f>
        <v>RAS</v>
      </c>
      <c r="O13" s="9" t="str">
        <f>IF('2. Simulation'!O13='1. Base'!O13,"RAS","SWITCH")</f>
        <v>RAS</v>
      </c>
      <c r="P13" s="9" t="str">
        <f>IF('2. Simulation'!P13='1. Base'!P13,"RAS","SWITCH")</f>
        <v>RAS</v>
      </c>
      <c r="Q13" s="9" t="str">
        <f>IF('2. Simulation'!Q13='1. Base'!Q13,"RAS","SWITCH")</f>
        <v>RAS</v>
      </c>
      <c r="R13" s="9" t="str">
        <f>IF('2. Simulation'!R13='1. Base'!R13,"RAS","SWITCH")</f>
        <v>RAS</v>
      </c>
      <c r="S13" s="9" t="str">
        <f>IF('2. Simulation'!S13='1. Base'!S13,"RAS","SWITCH")</f>
        <v>RAS</v>
      </c>
      <c r="T13" s="9" t="str">
        <f>IF('2. Simulation'!T13='1. Base'!T13,"RAS","SWITCH")</f>
        <v>RAS</v>
      </c>
      <c r="U13" s="9" t="str">
        <f>IF('2. Simulation'!U13='1. Base'!U13,"RAS","SWITCH")</f>
        <v>RAS</v>
      </c>
      <c r="V13" s="9" t="str">
        <f>IF('2. Simulation'!V13='1. Base'!V13,"RAS","SWITCH")</f>
        <v>RAS</v>
      </c>
      <c r="W13" s="9" t="str">
        <f>IF('2. Simulation'!W13='1. Base'!W13,"RAS","SWITCH")</f>
        <v>RAS</v>
      </c>
      <c r="X13" s="9" t="str">
        <f>IF('2. Simulation'!X13='1. Base'!X13,"RAS","SWITCH")</f>
        <v>RAS</v>
      </c>
      <c r="Y13" s="11"/>
    </row>
    <row r="14" spans="2:25" ht="15" customHeight="1" x14ac:dyDescent="0.3">
      <c r="B14" s="34" t="s">
        <v>186</v>
      </c>
      <c r="C14" s="57"/>
      <c r="D14" s="7" t="s">
        <v>29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11"/>
    </row>
    <row r="15" spans="2:25" ht="15" customHeight="1" x14ac:dyDescent="0.3">
      <c r="B15" s="34" t="s">
        <v>186</v>
      </c>
      <c r="C15" s="57"/>
      <c r="D15" s="7" t="s">
        <v>30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11"/>
    </row>
    <row r="16" spans="2:25" ht="15" customHeight="1" x14ac:dyDescent="0.3">
      <c r="B16" s="3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2:25" ht="15" customHeight="1" x14ac:dyDescent="0.3">
      <c r="B17" s="34" t="s">
        <v>186</v>
      </c>
      <c r="C17" s="57" t="s">
        <v>189</v>
      </c>
      <c r="D17" s="33" t="s">
        <v>31</v>
      </c>
      <c r="E17" s="9">
        <f>'2. Simulation'!E17-'1. Base'!E17</f>
        <v>0</v>
      </c>
      <c r="F17" s="9">
        <f>'2. Simulation'!F17-'1. Base'!F17</f>
        <v>0</v>
      </c>
      <c r="G17" s="9">
        <f>'2. Simulation'!G17-'1. Base'!G17</f>
        <v>0</v>
      </c>
      <c r="H17" s="9">
        <f>'2. Simulation'!H17-'1. Base'!H17</f>
        <v>0</v>
      </c>
      <c r="I17" s="9">
        <f>'2. Simulation'!I17-'1. Base'!I17</f>
        <v>0</v>
      </c>
      <c r="J17" s="9">
        <f>'2. Simulation'!J17-'1. Base'!J17</f>
        <v>0</v>
      </c>
      <c r="K17" s="9">
        <f>'2. Simulation'!K17-'1. Base'!K17</f>
        <v>0</v>
      </c>
      <c r="L17" s="9">
        <f>'2. Simulation'!L17-'1. Base'!L17</f>
        <v>0</v>
      </c>
      <c r="M17" s="9">
        <f>'2. Simulation'!M17-'1. Base'!M17</f>
        <v>0</v>
      </c>
      <c r="N17" s="9">
        <f>'2. Simulation'!N17-'1. Base'!N17</f>
        <v>0</v>
      </c>
      <c r="O17" s="9">
        <f>'2. Simulation'!O17-'1. Base'!O17</f>
        <v>0</v>
      </c>
      <c r="P17" s="9">
        <f>'2. Simulation'!P17-'1. Base'!P17</f>
        <v>0</v>
      </c>
      <c r="Q17" s="9">
        <f>'2. Simulation'!Q17-'1. Base'!Q17</f>
        <v>0</v>
      </c>
      <c r="R17" s="9">
        <f>'2. Simulation'!R17-'1. Base'!R17</f>
        <v>0</v>
      </c>
      <c r="S17" s="9">
        <f>'2. Simulation'!S17-'1. Base'!S17</f>
        <v>0</v>
      </c>
      <c r="T17" s="9">
        <f>'2. Simulation'!T17-'1. Base'!T17</f>
        <v>0</v>
      </c>
      <c r="U17" s="9">
        <f>'2. Simulation'!U17-'1. Base'!U17</f>
        <v>0</v>
      </c>
      <c r="V17" s="9">
        <f>'2. Simulation'!V17-'1. Base'!V17</f>
        <v>0</v>
      </c>
      <c r="W17" s="9">
        <f>'2. Simulation'!W17-'1. Base'!W17</f>
        <v>0</v>
      </c>
      <c r="X17" s="9">
        <f>'2. Simulation'!X17-'1. Base'!X17</f>
        <v>0</v>
      </c>
      <c r="Y17" s="9">
        <f>SUM(E17:X17)</f>
        <v>0</v>
      </c>
    </row>
    <row r="18" spans="2:25" ht="15" customHeight="1" x14ac:dyDescent="0.3">
      <c r="B18" s="34" t="s">
        <v>186</v>
      </c>
      <c r="C18" s="57"/>
      <c r="D18" s="33" t="s">
        <v>32</v>
      </c>
      <c r="E18" s="9">
        <f>'2. Simulation'!E18-'1. Base'!E18</f>
        <v>0</v>
      </c>
      <c r="F18" s="9">
        <f>'2. Simulation'!F18-'1. Base'!F18</f>
        <v>0</v>
      </c>
      <c r="G18" s="9">
        <f>'2. Simulation'!G18-'1. Base'!G18</f>
        <v>0</v>
      </c>
      <c r="H18" s="9">
        <f>'2. Simulation'!H18-'1. Base'!H18</f>
        <v>0</v>
      </c>
      <c r="I18" s="9">
        <f>'2. Simulation'!I18-'1. Base'!I18</f>
        <v>0</v>
      </c>
      <c r="J18" s="9">
        <f>'2. Simulation'!J18-'1. Base'!J18</f>
        <v>0</v>
      </c>
      <c r="K18" s="9">
        <f>'2. Simulation'!K18-'1. Base'!K18</f>
        <v>0</v>
      </c>
      <c r="L18" s="9">
        <f>'2. Simulation'!L18-'1. Base'!L18</f>
        <v>0</v>
      </c>
      <c r="M18" s="9">
        <f>'2. Simulation'!M18-'1. Base'!M18</f>
        <v>0</v>
      </c>
      <c r="N18" s="9">
        <f>'2. Simulation'!N18-'1. Base'!N18</f>
        <v>0</v>
      </c>
      <c r="O18" s="9">
        <f>'2. Simulation'!O18-'1. Base'!O18</f>
        <v>0</v>
      </c>
      <c r="P18" s="9">
        <f>'2. Simulation'!P18-'1. Base'!P18</f>
        <v>0</v>
      </c>
      <c r="Q18" s="9">
        <f>'2. Simulation'!Q18-'1. Base'!Q18</f>
        <v>0</v>
      </c>
      <c r="R18" s="9">
        <f>'2. Simulation'!R18-'1. Base'!R18</f>
        <v>0</v>
      </c>
      <c r="S18" s="9">
        <f>'2. Simulation'!S18-'1. Base'!S18</f>
        <v>0</v>
      </c>
      <c r="T18" s="9">
        <f>'2. Simulation'!T18-'1. Base'!T18</f>
        <v>0</v>
      </c>
      <c r="U18" s="9">
        <f>'2. Simulation'!U18-'1. Base'!U18</f>
        <v>0</v>
      </c>
      <c r="V18" s="9">
        <f>'2. Simulation'!V18-'1. Base'!V18</f>
        <v>0</v>
      </c>
      <c r="W18" s="9">
        <f>'2. Simulation'!W18-'1. Base'!W18</f>
        <v>0</v>
      </c>
      <c r="X18" s="9">
        <f>'2. Simulation'!X18-'1. Base'!X18</f>
        <v>0</v>
      </c>
      <c r="Y18" s="9">
        <f t="shared" ref="Y18:Y28" si="0">SUM(E18:X18)</f>
        <v>0</v>
      </c>
    </row>
    <row r="19" spans="2:25" ht="15" customHeight="1" x14ac:dyDescent="0.3">
      <c r="B19" s="34" t="s">
        <v>186</v>
      </c>
      <c r="C19" s="57"/>
      <c r="D19" s="33" t="s">
        <v>33</v>
      </c>
      <c r="E19" s="9">
        <f>'2. Simulation'!E19-'1. Base'!E19</f>
        <v>0</v>
      </c>
      <c r="F19" s="9">
        <f>'2. Simulation'!F19-'1. Base'!F19</f>
        <v>0</v>
      </c>
      <c r="G19" s="9">
        <f>'2. Simulation'!G19-'1. Base'!G19</f>
        <v>0</v>
      </c>
      <c r="H19" s="9">
        <f>'2. Simulation'!H19-'1. Base'!H19</f>
        <v>0</v>
      </c>
      <c r="I19" s="9">
        <f>'2. Simulation'!I19-'1. Base'!I19</f>
        <v>0</v>
      </c>
      <c r="J19" s="9">
        <f>'2. Simulation'!J19-'1. Base'!J19</f>
        <v>0</v>
      </c>
      <c r="K19" s="9">
        <f>'2. Simulation'!K19-'1. Base'!K19</f>
        <v>0</v>
      </c>
      <c r="L19" s="9">
        <f>'2. Simulation'!L19-'1. Base'!L19</f>
        <v>0</v>
      </c>
      <c r="M19" s="9">
        <f>'2. Simulation'!M19-'1. Base'!M19</f>
        <v>0</v>
      </c>
      <c r="N19" s="9">
        <f>'2. Simulation'!N19-'1. Base'!N19</f>
        <v>0</v>
      </c>
      <c r="O19" s="9">
        <f>'2. Simulation'!O19-'1. Base'!O19</f>
        <v>0</v>
      </c>
      <c r="P19" s="9">
        <f>'2. Simulation'!P19-'1. Base'!P19</f>
        <v>0</v>
      </c>
      <c r="Q19" s="9">
        <f>'2. Simulation'!Q19-'1. Base'!Q19</f>
        <v>0</v>
      </c>
      <c r="R19" s="9">
        <f>'2. Simulation'!R19-'1. Base'!R19</f>
        <v>0</v>
      </c>
      <c r="S19" s="9">
        <f>'2. Simulation'!S19-'1. Base'!S19</f>
        <v>0</v>
      </c>
      <c r="T19" s="9">
        <f>'2. Simulation'!T19-'1. Base'!T19</f>
        <v>0</v>
      </c>
      <c r="U19" s="9">
        <f>'2. Simulation'!U19-'1. Base'!U19</f>
        <v>0</v>
      </c>
      <c r="V19" s="9">
        <f>'2. Simulation'!V19-'1. Base'!V19</f>
        <v>0</v>
      </c>
      <c r="W19" s="9">
        <f>'2. Simulation'!W19-'1. Base'!W19</f>
        <v>0</v>
      </c>
      <c r="X19" s="9">
        <f>'2. Simulation'!X19-'1. Base'!X19</f>
        <v>0</v>
      </c>
      <c r="Y19" s="9">
        <f t="shared" si="0"/>
        <v>0</v>
      </c>
    </row>
    <row r="20" spans="2:25" ht="15" customHeight="1" x14ac:dyDescent="0.3">
      <c r="B20" s="34" t="s">
        <v>186</v>
      </c>
      <c r="C20" s="57"/>
      <c r="D20" s="33" t="s">
        <v>34</v>
      </c>
      <c r="E20" s="9">
        <f>'2. Simulation'!E20-'1. Base'!E20</f>
        <v>0</v>
      </c>
      <c r="F20" s="9">
        <f>'2. Simulation'!F20-'1. Base'!F20</f>
        <v>0</v>
      </c>
      <c r="G20" s="9">
        <f>'2. Simulation'!G20-'1. Base'!G20</f>
        <v>0</v>
      </c>
      <c r="H20" s="9">
        <f>'2. Simulation'!H20-'1. Base'!H20</f>
        <v>0</v>
      </c>
      <c r="I20" s="9">
        <f>'2. Simulation'!I20-'1. Base'!I20</f>
        <v>0</v>
      </c>
      <c r="J20" s="9">
        <f>'2. Simulation'!J20-'1. Base'!J20</f>
        <v>0</v>
      </c>
      <c r="K20" s="9">
        <f>'2. Simulation'!K20-'1. Base'!K20</f>
        <v>0</v>
      </c>
      <c r="L20" s="9">
        <f>'2. Simulation'!L20-'1. Base'!L20</f>
        <v>0</v>
      </c>
      <c r="M20" s="9">
        <f>'2. Simulation'!M20-'1. Base'!M20</f>
        <v>0</v>
      </c>
      <c r="N20" s="9">
        <f>'2. Simulation'!N20-'1. Base'!N20</f>
        <v>0</v>
      </c>
      <c r="O20" s="9">
        <f>'2. Simulation'!O20-'1. Base'!O20</f>
        <v>0</v>
      </c>
      <c r="P20" s="9">
        <f>'2. Simulation'!P20-'1. Base'!P20</f>
        <v>0</v>
      </c>
      <c r="Q20" s="9">
        <f>'2. Simulation'!Q20-'1. Base'!Q20</f>
        <v>0</v>
      </c>
      <c r="R20" s="9">
        <f>'2. Simulation'!R20-'1. Base'!R20</f>
        <v>0</v>
      </c>
      <c r="S20" s="9">
        <f>'2. Simulation'!S20-'1. Base'!S20</f>
        <v>0</v>
      </c>
      <c r="T20" s="9">
        <f>'2. Simulation'!T20-'1. Base'!T20</f>
        <v>0</v>
      </c>
      <c r="U20" s="9">
        <f>'2. Simulation'!U20-'1. Base'!U20</f>
        <v>0</v>
      </c>
      <c r="V20" s="9">
        <f>'2. Simulation'!V20-'1. Base'!V20</f>
        <v>0</v>
      </c>
      <c r="W20" s="9">
        <f>'2. Simulation'!W20-'1. Base'!W20</f>
        <v>0</v>
      </c>
      <c r="X20" s="9">
        <f>'2. Simulation'!X20-'1. Base'!X20</f>
        <v>0</v>
      </c>
      <c r="Y20" s="9">
        <f t="shared" si="0"/>
        <v>0</v>
      </c>
    </row>
    <row r="21" spans="2:25" ht="15" customHeight="1" x14ac:dyDescent="0.3">
      <c r="B21" s="34" t="s">
        <v>186</v>
      </c>
      <c r="C21" s="57"/>
      <c r="D21" s="33" t="s">
        <v>145</v>
      </c>
      <c r="E21" s="9">
        <f>'2. Simulation'!E21-'1. Base'!E21</f>
        <v>0</v>
      </c>
      <c r="F21" s="9">
        <f>'2. Simulation'!F21-'1. Base'!F21</f>
        <v>0</v>
      </c>
      <c r="G21" s="9">
        <f>'2. Simulation'!G21-'1. Base'!G21</f>
        <v>0</v>
      </c>
      <c r="H21" s="9">
        <f>'2. Simulation'!H21-'1. Base'!H21</f>
        <v>0</v>
      </c>
      <c r="I21" s="9">
        <f>'2. Simulation'!I21-'1. Base'!I21</f>
        <v>0</v>
      </c>
      <c r="J21" s="9">
        <f>'2. Simulation'!J21-'1. Base'!J21</f>
        <v>0</v>
      </c>
      <c r="K21" s="9">
        <f>'2. Simulation'!K21-'1. Base'!K21</f>
        <v>0</v>
      </c>
      <c r="L21" s="9">
        <f>'2. Simulation'!L21-'1. Base'!L21</f>
        <v>0</v>
      </c>
      <c r="M21" s="9">
        <f>'2. Simulation'!M21-'1. Base'!M21</f>
        <v>0</v>
      </c>
      <c r="N21" s="9">
        <f>'2. Simulation'!N21-'1. Base'!N21</f>
        <v>0</v>
      </c>
      <c r="O21" s="9">
        <f>'2. Simulation'!O21-'1. Base'!O21</f>
        <v>0</v>
      </c>
      <c r="P21" s="9">
        <f>'2. Simulation'!P21-'1. Base'!P21</f>
        <v>0</v>
      </c>
      <c r="Q21" s="9">
        <f>'2. Simulation'!Q21-'1. Base'!Q21</f>
        <v>0</v>
      </c>
      <c r="R21" s="9">
        <f>'2. Simulation'!R21-'1. Base'!R21</f>
        <v>0</v>
      </c>
      <c r="S21" s="9">
        <f>'2. Simulation'!S21-'1. Base'!S21</f>
        <v>0</v>
      </c>
      <c r="T21" s="9">
        <f>'2. Simulation'!T21-'1. Base'!T21</f>
        <v>0</v>
      </c>
      <c r="U21" s="9">
        <f>'2. Simulation'!U21-'1. Base'!U21</f>
        <v>0</v>
      </c>
      <c r="V21" s="9">
        <f>'2. Simulation'!V21-'1. Base'!V21</f>
        <v>0</v>
      </c>
      <c r="W21" s="9">
        <f>'2. Simulation'!W21-'1. Base'!W21</f>
        <v>0</v>
      </c>
      <c r="X21" s="9">
        <f>'2. Simulation'!X21-'1. Base'!X21</f>
        <v>0</v>
      </c>
      <c r="Y21" s="9">
        <f t="shared" si="0"/>
        <v>0</v>
      </c>
    </row>
    <row r="22" spans="2:25" ht="15" customHeight="1" x14ac:dyDescent="0.3">
      <c r="B22" s="34" t="s">
        <v>186</v>
      </c>
      <c r="C22" s="57"/>
      <c r="D22" s="33" t="s">
        <v>146</v>
      </c>
      <c r="E22" s="9">
        <f>'2. Simulation'!E22-'1. Base'!E22</f>
        <v>0</v>
      </c>
      <c r="F22" s="9">
        <f>'2. Simulation'!F22-'1. Base'!F22</f>
        <v>0</v>
      </c>
      <c r="G22" s="9">
        <f>'2. Simulation'!G22-'1. Base'!G22</f>
        <v>0</v>
      </c>
      <c r="H22" s="9">
        <f>'2. Simulation'!H22-'1. Base'!H22</f>
        <v>0</v>
      </c>
      <c r="I22" s="9">
        <f>'2. Simulation'!I22-'1. Base'!I22</f>
        <v>0</v>
      </c>
      <c r="J22" s="9">
        <f>'2. Simulation'!J22-'1. Base'!J22</f>
        <v>0</v>
      </c>
      <c r="K22" s="9">
        <f>'2. Simulation'!K22-'1. Base'!K22</f>
        <v>0</v>
      </c>
      <c r="L22" s="9">
        <f>'2. Simulation'!L22-'1. Base'!L22</f>
        <v>0</v>
      </c>
      <c r="M22" s="9">
        <f>'2. Simulation'!M22-'1. Base'!M22</f>
        <v>0</v>
      </c>
      <c r="N22" s="9">
        <f>'2. Simulation'!N22-'1. Base'!N22</f>
        <v>0</v>
      </c>
      <c r="O22" s="9">
        <f>'2. Simulation'!O22-'1. Base'!O22</f>
        <v>0</v>
      </c>
      <c r="P22" s="9">
        <f>'2. Simulation'!P22-'1. Base'!P22</f>
        <v>0</v>
      </c>
      <c r="Q22" s="9">
        <f>'2. Simulation'!Q22-'1. Base'!Q22</f>
        <v>0</v>
      </c>
      <c r="R22" s="9">
        <f>'2. Simulation'!R22-'1. Base'!R22</f>
        <v>0</v>
      </c>
      <c r="S22" s="9">
        <f>'2. Simulation'!S22-'1. Base'!S22</f>
        <v>0</v>
      </c>
      <c r="T22" s="9">
        <f>'2. Simulation'!T22-'1. Base'!T22</f>
        <v>0</v>
      </c>
      <c r="U22" s="9">
        <f>'2. Simulation'!U22-'1. Base'!U22</f>
        <v>0</v>
      </c>
      <c r="V22" s="9">
        <f>'2. Simulation'!V22-'1. Base'!V22</f>
        <v>0</v>
      </c>
      <c r="W22" s="9">
        <f>'2. Simulation'!W22-'1. Base'!W22</f>
        <v>0</v>
      </c>
      <c r="X22" s="9">
        <f>'2. Simulation'!X22-'1. Base'!X22</f>
        <v>0</v>
      </c>
      <c r="Y22" s="9">
        <f t="shared" si="0"/>
        <v>0</v>
      </c>
    </row>
    <row r="23" spans="2:25" ht="15" customHeight="1" x14ac:dyDescent="0.3">
      <c r="B23" s="34" t="s">
        <v>186</v>
      </c>
      <c r="C23" s="57"/>
      <c r="D23" s="33" t="s">
        <v>147</v>
      </c>
      <c r="E23" s="9">
        <f>'2. Simulation'!E23-'1. Base'!E23</f>
        <v>0</v>
      </c>
      <c r="F23" s="9">
        <f>'2. Simulation'!F23-'1. Base'!F23</f>
        <v>0</v>
      </c>
      <c r="G23" s="9">
        <f>'2. Simulation'!G23-'1. Base'!G23</f>
        <v>0</v>
      </c>
      <c r="H23" s="9">
        <f>'2. Simulation'!H23-'1. Base'!H23</f>
        <v>0</v>
      </c>
      <c r="I23" s="9">
        <f>'2. Simulation'!I23-'1. Base'!I23</f>
        <v>0</v>
      </c>
      <c r="J23" s="9">
        <f>'2. Simulation'!J23-'1. Base'!J23</f>
        <v>0</v>
      </c>
      <c r="K23" s="9">
        <f>'2. Simulation'!K23-'1. Base'!K23</f>
        <v>0</v>
      </c>
      <c r="L23" s="9">
        <f>'2. Simulation'!L23-'1. Base'!L23</f>
        <v>0</v>
      </c>
      <c r="M23" s="9">
        <f>'2. Simulation'!M23-'1. Base'!M23</f>
        <v>0</v>
      </c>
      <c r="N23" s="9">
        <f>'2. Simulation'!N23-'1. Base'!N23</f>
        <v>0</v>
      </c>
      <c r="O23" s="9">
        <f>'2. Simulation'!O23-'1. Base'!O23</f>
        <v>0</v>
      </c>
      <c r="P23" s="9">
        <f>'2. Simulation'!P23-'1. Base'!P23</f>
        <v>0</v>
      </c>
      <c r="Q23" s="9">
        <f>'2. Simulation'!Q23-'1. Base'!Q23</f>
        <v>0</v>
      </c>
      <c r="R23" s="9">
        <f>'2. Simulation'!R23-'1. Base'!R23</f>
        <v>0</v>
      </c>
      <c r="S23" s="9">
        <f>'2. Simulation'!S23-'1. Base'!S23</f>
        <v>0</v>
      </c>
      <c r="T23" s="9">
        <f>'2. Simulation'!T23-'1. Base'!T23</f>
        <v>0</v>
      </c>
      <c r="U23" s="9">
        <f>'2. Simulation'!U23-'1. Base'!U23</f>
        <v>0</v>
      </c>
      <c r="V23" s="9">
        <f>'2. Simulation'!V23-'1. Base'!V23</f>
        <v>0</v>
      </c>
      <c r="W23" s="9">
        <f>'2. Simulation'!W23-'1. Base'!W23</f>
        <v>0</v>
      </c>
      <c r="X23" s="9">
        <f>'2. Simulation'!X23-'1. Base'!X23</f>
        <v>0</v>
      </c>
      <c r="Y23" s="9">
        <f t="shared" si="0"/>
        <v>0</v>
      </c>
    </row>
    <row r="24" spans="2:25" ht="15" customHeight="1" x14ac:dyDescent="0.3">
      <c r="B24" s="34" t="s">
        <v>186</v>
      </c>
      <c r="C24" s="57"/>
      <c r="D24" s="33" t="s">
        <v>148</v>
      </c>
      <c r="E24" s="9">
        <f>'2. Simulation'!E24-'1. Base'!E24</f>
        <v>0</v>
      </c>
      <c r="F24" s="9">
        <f>'2. Simulation'!F24-'1. Base'!F24</f>
        <v>0</v>
      </c>
      <c r="G24" s="9">
        <f>'2. Simulation'!G24-'1. Base'!G24</f>
        <v>0</v>
      </c>
      <c r="H24" s="9">
        <f>'2. Simulation'!H24-'1. Base'!H24</f>
        <v>0</v>
      </c>
      <c r="I24" s="9">
        <f>'2. Simulation'!I24-'1. Base'!I24</f>
        <v>0</v>
      </c>
      <c r="J24" s="9">
        <f>'2. Simulation'!J24-'1. Base'!J24</f>
        <v>0</v>
      </c>
      <c r="K24" s="9">
        <f>'2. Simulation'!K24-'1. Base'!K24</f>
        <v>0</v>
      </c>
      <c r="L24" s="9">
        <f>'2. Simulation'!L24-'1. Base'!L24</f>
        <v>0</v>
      </c>
      <c r="M24" s="9">
        <f>'2. Simulation'!M24-'1. Base'!M24</f>
        <v>0</v>
      </c>
      <c r="N24" s="9">
        <f>'2. Simulation'!N24-'1. Base'!N24</f>
        <v>0</v>
      </c>
      <c r="O24" s="9">
        <f>'2. Simulation'!O24-'1. Base'!O24</f>
        <v>0</v>
      </c>
      <c r="P24" s="9">
        <f>'2. Simulation'!P24-'1. Base'!P24</f>
        <v>0</v>
      </c>
      <c r="Q24" s="9">
        <f>'2. Simulation'!Q24-'1. Base'!Q24</f>
        <v>0</v>
      </c>
      <c r="R24" s="9">
        <f>'2. Simulation'!R24-'1. Base'!R24</f>
        <v>0</v>
      </c>
      <c r="S24" s="9">
        <f>'2. Simulation'!S24-'1. Base'!S24</f>
        <v>0</v>
      </c>
      <c r="T24" s="9">
        <f>'2. Simulation'!T24-'1. Base'!T24</f>
        <v>0</v>
      </c>
      <c r="U24" s="9">
        <f>'2. Simulation'!U24-'1. Base'!U24</f>
        <v>0</v>
      </c>
      <c r="V24" s="9">
        <f>'2. Simulation'!V24-'1. Base'!V24</f>
        <v>0</v>
      </c>
      <c r="W24" s="9">
        <f>'2. Simulation'!W24-'1. Base'!W24</f>
        <v>0</v>
      </c>
      <c r="X24" s="9">
        <f>'2. Simulation'!X24-'1. Base'!X24</f>
        <v>0</v>
      </c>
      <c r="Y24" s="9">
        <f t="shared" si="0"/>
        <v>0</v>
      </c>
    </row>
    <row r="25" spans="2:25" ht="15" customHeight="1" x14ac:dyDescent="0.3">
      <c r="B25" s="34" t="s">
        <v>186</v>
      </c>
      <c r="C25" s="57"/>
      <c r="D25" s="33" t="s">
        <v>149</v>
      </c>
      <c r="E25" s="9">
        <f>'2. Simulation'!E25-'1. Base'!E25</f>
        <v>0</v>
      </c>
      <c r="F25" s="9">
        <f>'2. Simulation'!F25-'1. Base'!F25</f>
        <v>0</v>
      </c>
      <c r="G25" s="9">
        <f>'2. Simulation'!G25-'1. Base'!G25</f>
        <v>0</v>
      </c>
      <c r="H25" s="9">
        <f>'2. Simulation'!H25-'1. Base'!H25</f>
        <v>0</v>
      </c>
      <c r="I25" s="9">
        <f>'2. Simulation'!I25-'1. Base'!I25</f>
        <v>0</v>
      </c>
      <c r="J25" s="9">
        <f>'2. Simulation'!J25-'1. Base'!J25</f>
        <v>0</v>
      </c>
      <c r="K25" s="9">
        <f>'2. Simulation'!K25-'1. Base'!K25</f>
        <v>0</v>
      </c>
      <c r="L25" s="9">
        <f>'2. Simulation'!L25-'1. Base'!L25</f>
        <v>0</v>
      </c>
      <c r="M25" s="9">
        <f>'2. Simulation'!M25-'1. Base'!M25</f>
        <v>0</v>
      </c>
      <c r="N25" s="9">
        <f>'2. Simulation'!N25-'1. Base'!N25</f>
        <v>0</v>
      </c>
      <c r="O25" s="9">
        <f>'2. Simulation'!O25-'1. Base'!O25</f>
        <v>0</v>
      </c>
      <c r="P25" s="9">
        <f>'2. Simulation'!P25-'1. Base'!P25</f>
        <v>0</v>
      </c>
      <c r="Q25" s="9">
        <f>'2. Simulation'!Q25-'1. Base'!Q25</f>
        <v>0</v>
      </c>
      <c r="R25" s="9">
        <f>'2. Simulation'!R25-'1. Base'!R25</f>
        <v>0</v>
      </c>
      <c r="S25" s="9">
        <f>'2. Simulation'!S25-'1. Base'!S25</f>
        <v>0</v>
      </c>
      <c r="T25" s="9">
        <f>'2. Simulation'!T25-'1. Base'!T25</f>
        <v>0</v>
      </c>
      <c r="U25" s="9">
        <f>'2. Simulation'!U25-'1. Base'!U25</f>
        <v>0</v>
      </c>
      <c r="V25" s="9">
        <f>'2. Simulation'!V25-'1. Base'!V25</f>
        <v>0</v>
      </c>
      <c r="W25" s="9">
        <f>'2. Simulation'!W25-'1. Base'!W25</f>
        <v>0</v>
      </c>
      <c r="X25" s="9">
        <f>'2. Simulation'!X25-'1. Base'!X25</f>
        <v>0</v>
      </c>
      <c r="Y25" s="9">
        <f t="shared" si="0"/>
        <v>0</v>
      </c>
    </row>
    <row r="26" spans="2:25" ht="15" customHeight="1" x14ac:dyDescent="0.3">
      <c r="B26" s="34" t="s">
        <v>186</v>
      </c>
      <c r="C26" s="57"/>
      <c r="D26" s="33" t="s">
        <v>150</v>
      </c>
      <c r="E26" s="9">
        <f>'2. Simulation'!E26-'1. Base'!E26</f>
        <v>0</v>
      </c>
      <c r="F26" s="9">
        <f>'2. Simulation'!F26-'1. Base'!F26</f>
        <v>0</v>
      </c>
      <c r="G26" s="9">
        <f>'2. Simulation'!G26-'1. Base'!G26</f>
        <v>0</v>
      </c>
      <c r="H26" s="9">
        <f>'2. Simulation'!H26-'1. Base'!H26</f>
        <v>0</v>
      </c>
      <c r="I26" s="9">
        <f>'2. Simulation'!I26-'1. Base'!I26</f>
        <v>0</v>
      </c>
      <c r="J26" s="9">
        <f>'2. Simulation'!J26-'1. Base'!J26</f>
        <v>0</v>
      </c>
      <c r="K26" s="9">
        <f>'2. Simulation'!K26-'1. Base'!K26</f>
        <v>0</v>
      </c>
      <c r="L26" s="9">
        <f>'2. Simulation'!L26-'1. Base'!L26</f>
        <v>0</v>
      </c>
      <c r="M26" s="9">
        <f>'2. Simulation'!M26-'1. Base'!M26</f>
        <v>0</v>
      </c>
      <c r="N26" s="9">
        <f>'2. Simulation'!N26-'1. Base'!N26</f>
        <v>0</v>
      </c>
      <c r="O26" s="9">
        <f>'2. Simulation'!O26-'1. Base'!O26</f>
        <v>0</v>
      </c>
      <c r="P26" s="9">
        <f>'2. Simulation'!P26-'1. Base'!P26</f>
        <v>0</v>
      </c>
      <c r="Q26" s="9">
        <f>'2. Simulation'!Q26-'1. Base'!Q26</f>
        <v>0</v>
      </c>
      <c r="R26" s="9">
        <f>'2. Simulation'!R26-'1. Base'!R26</f>
        <v>0</v>
      </c>
      <c r="S26" s="9">
        <f>'2. Simulation'!S26-'1. Base'!S26</f>
        <v>0</v>
      </c>
      <c r="T26" s="9">
        <f>'2. Simulation'!T26-'1. Base'!T26</f>
        <v>0</v>
      </c>
      <c r="U26" s="9">
        <f>'2. Simulation'!U26-'1. Base'!U26</f>
        <v>0</v>
      </c>
      <c r="V26" s="9">
        <f>'2. Simulation'!V26-'1. Base'!V26</f>
        <v>0</v>
      </c>
      <c r="W26" s="9">
        <f>'2. Simulation'!W26-'1. Base'!W26</f>
        <v>0</v>
      </c>
      <c r="X26" s="9">
        <f>'2. Simulation'!X26-'1. Base'!X26</f>
        <v>0</v>
      </c>
      <c r="Y26" s="9">
        <f t="shared" si="0"/>
        <v>0</v>
      </c>
    </row>
    <row r="27" spans="2:25" ht="15" customHeight="1" x14ac:dyDescent="0.3">
      <c r="B27" s="34" t="s">
        <v>186</v>
      </c>
      <c r="C27" s="57"/>
      <c r="D27" s="33" t="s">
        <v>151</v>
      </c>
      <c r="E27" s="9">
        <f>'2. Simulation'!E27-'1. Base'!E27</f>
        <v>15</v>
      </c>
      <c r="F27" s="9">
        <f>'2. Simulation'!F27-'1. Base'!F27</f>
        <v>0</v>
      </c>
      <c r="G27" s="9">
        <f>'2. Simulation'!G27-'1. Base'!G27</f>
        <v>0</v>
      </c>
      <c r="H27" s="9">
        <f>'2. Simulation'!H27-'1. Base'!H27</f>
        <v>0</v>
      </c>
      <c r="I27" s="9">
        <f>'2. Simulation'!I27-'1. Base'!I27</f>
        <v>0</v>
      </c>
      <c r="J27" s="9">
        <f>'2. Simulation'!J27-'1. Base'!J27</f>
        <v>0</v>
      </c>
      <c r="K27" s="9">
        <f>'2. Simulation'!K27-'1. Base'!K27</f>
        <v>0</v>
      </c>
      <c r="L27" s="9">
        <f>'2. Simulation'!L27-'1. Base'!L27</f>
        <v>0</v>
      </c>
      <c r="M27" s="9">
        <f>'2. Simulation'!M27-'1. Base'!M27</f>
        <v>0</v>
      </c>
      <c r="N27" s="9">
        <f>'2. Simulation'!N27-'1. Base'!N27</f>
        <v>0</v>
      </c>
      <c r="O27" s="9">
        <f>'2. Simulation'!O27-'1. Base'!O27</f>
        <v>0</v>
      </c>
      <c r="P27" s="9">
        <f>'2. Simulation'!P27-'1. Base'!P27</f>
        <v>0</v>
      </c>
      <c r="Q27" s="9">
        <f>'2. Simulation'!Q27-'1. Base'!Q27</f>
        <v>0</v>
      </c>
      <c r="R27" s="9">
        <f>'2. Simulation'!R27-'1. Base'!R27</f>
        <v>0</v>
      </c>
      <c r="S27" s="9">
        <f>'2. Simulation'!S27-'1. Base'!S27</f>
        <v>0</v>
      </c>
      <c r="T27" s="9">
        <f>'2. Simulation'!T27-'1. Base'!T27</f>
        <v>0</v>
      </c>
      <c r="U27" s="9">
        <f>'2. Simulation'!U27-'1. Base'!U27</f>
        <v>0</v>
      </c>
      <c r="V27" s="9">
        <f>'2. Simulation'!V27-'1. Base'!V27</f>
        <v>0</v>
      </c>
      <c r="W27" s="9">
        <f>'2. Simulation'!W27-'1. Base'!W27</f>
        <v>0</v>
      </c>
      <c r="X27" s="9">
        <f>'2. Simulation'!X27-'1. Base'!X27</f>
        <v>0</v>
      </c>
      <c r="Y27" s="9">
        <f t="shared" si="0"/>
        <v>15</v>
      </c>
    </row>
    <row r="28" spans="2:25" ht="15" customHeight="1" x14ac:dyDescent="0.3">
      <c r="B28" s="34" t="s">
        <v>186</v>
      </c>
      <c r="C28" s="57"/>
      <c r="D28" s="33" t="s">
        <v>35</v>
      </c>
      <c r="E28" s="9">
        <f>'2. Simulation'!E28-'1. Base'!E28</f>
        <v>0</v>
      </c>
      <c r="F28" s="9">
        <f>'2. Simulation'!F28-'1. Base'!F28</f>
        <v>0</v>
      </c>
      <c r="G28" s="9">
        <f>'2. Simulation'!G28-'1. Base'!G28</f>
        <v>0</v>
      </c>
      <c r="H28" s="9">
        <f>'2. Simulation'!H28-'1. Base'!H28</f>
        <v>0</v>
      </c>
      <c r="I28" s="9">
        <f>'2. Simulation'!I28-'1. Base'!I28</f>
        <v>0</v>
      </c>
      <c r="J28" s="9">
        <f>'2. Simulation'!J28-'1. Base'!J28</f>
        <v>0</v>
      </c>
      <c r="K28" s="9">
        <f>'2. Simulation'!K28-'1. Base'!K28</f>
        <v>0</v>
      </c>
      <c r="L28" s="9">
        <f>'2. Simulation'!L28-'1. Base'!L28</f>
        <v>0</v>
      </c>
      <c r="M28" s="9">
        <f>'2. Simulation'!M28-'1. Base'!M28</f>
        <v>0</v>
      </c>
      <c r="N28" s="9">
        <f>'2. Simulation'!N28-'1. Base'!N28</f>
        <v>0</v>
      </c>
      <c r="O28" s="9">
        <f>'2. Simulation'!O28-'1. Base'!O28</f>
        <v>0</v>
      </c>
      <c r="P28" s="9">
        <f>'2. Simulation'!P28-'1. Base'!P28</f>
        <v>0</v>
      </c>
      <c r="Q28" s="9">
        <f>'2. Simulation'!Q28-'1. Base'!Q28</f>
        <v>0</v>
      </c>
      <c r="R28" s="9">
        <f>'2. Simulation'!R28-'1. Base'!R28</f>
        <v>0</v>
      </c>
      <c r="S28" s="9">
        <f>'2. Simulation'!S28-'1. Base'!S28</f>
        <v>0</v>
      </c>
      <c r="T28" s="9">
        <f>'2. Simulation'!T28-'1. Base'!T28</f>
        <v>0</v>
      </c>
      <c r="U28" s="9">
        <f>'2. Simulation'!U28-'1. Base'!U28</f>
        <v>0</v>
      </c>
      <c r="V28" s="9">
        <f>'2. Simulation'!V28-'1. Base'!V28</f>
        <v>0</v>
      </c>
      <c r="W28" s="9">
        <f>'2. Simulation'!W28-'1. Base'!W28</f>
        <v>0</v>
      </c>
      <c r="X28" s="9">
        <f>'2. Simulation'!X28-'1. Base'!X28</f>
        <v>0</v>
      </c>
      <c r="Y28" s="9">
        <f t="shared" si="0"/>
        <v>0</v>
      </c>
    </row>
    <row r="29" spans="2:25" ht="15" customHeight="1" x14ac:dyDescent="0.3">
      <c r="B29" s="34" t="s">
        <v>186</v>
      </c>
      <c r="C29" s="57"/>
      <c r="D29" s="33" t="s">
        <v>36</v>
      </c>
      <c r="E29" s="9">
        <f>'2. Simulation'!E29-'1. Base'!E29</f>
        <v>0</v>
      </c>
      <c r="F29" s="9">
        <f>'2. Simulation'!F29-'1. Base'!F29</f>
        <v>0</v>
      </c>
      <c r="G29" s="9">
        <f>'2. Simulation'!G29-'1. Base'!G29</f>
        <v>0</v>
      </c>
      <c r="H29" s="9">
        <f>'2. Simulation'!H29-'1. Base'!H29</f>
        <v>0</v>
      </c>
      <c r="I29" s="9">
        <f>'2. Simulation'!I29-'1. Base'!I29</f>
        <v>0</v>
      </c>
      <c r="J29" s="9">
        <f>'2. Simulation'!J29-'1. Base'!J29</f>
        <v>0</v>
      </c>
      <c r="K29" s="9">
        <f>'2. Simulation'!K29-'1. Base'!K29</f>
        <v>0</v>
      </c>
      <c r="L29" s="9">
        <f>'2. Simulation'!L29-'1. Base'!L29</f>
        <v>0</v>
      </c>
      <c r="M29" s="9">
        <f>'2. Simulation'!M29-'1. Base'!M29</f>
        <v>0</v>
      </c>
      <c r="N29" s="9">
        <f>'2. Simulation'!N29-'1. Base'!N29</f>
        <v>0</v>
      </c>
      <c r="O29" s="9">
        <f>'2. Simulation'!O29-'1. Base'!O29</f>
        <v>0</v>
      </c>
      <c r="P29" s="9">
        <f>'2. Simulation'!P29-'1. Base'!P29</f>
        <v>0</v>
      </c>
      <c r="Q29" s="9">
        <f>'2. Simulation'!Q29-'1. Base'!Q29</f>
        <v>0</v>
      </c>
      <c r="R29" s="9">
        <f>'2. Simulation'!R29-'1. Base'!R29</f>
        <v>0</v>
      </c>
      <c r="S29" s="9">
        <f>'2. Simulation'!S29-'1. Base'!S29</f>
        <v>0</v>
      </c>
      <c r="T29" s="9">
        <f>'2. Simulation'!T29-'1. Base'!T29</f>
        <v>0</v>
      </c>
      <c r="U29" s="9">
        <f>'2. Simulation'!U29-'1. Base'!U29</f>
        <v>0</v>
      </c>
      <c r="V29" s="9">
        <f>'2. Simulation'!V29-'1. Base'!V29</f>
        <v>0</v>
      </c>
      <c r="W29" s="9">
        <f>'2. Simulation'!W29-'1. Base'!W29</f>
        <v>0</v>
      </c>
      <c r="X29" s="9">
        <f>'2. Simulation'!X29-'1. Base'!X29</f>
        <v>0</v>
      </c>
      <c r="Y29" s="9">
        <f>AVERAGE(E29:X29)</f>
        <v>0</v>
      </c>
    </row>
    <row r="30" spans="2:25" ht="15" customHeight="1" x14ac:dyDescent="0.3">
      <c r="B30" s="3"/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2:25" ht="15" customHeight="1" x14ac:dyDescent="0.3">
      <c r="B31" s="34" t="s">
        <v>186</v>
      </c>
      <c r="C31" s="57" t="s">
        <v>76</v>
      </c>
      <c r="D31" s="33" t="s">
        <v>37</v>
      </c>
      <c r="E31" s="12">
        <f>'2. Simulation'!E31-'1. Base'!E31</f>
        <v>0</v>
      </c>
      <c r="F31" s="12">
        <f>'2. Simulation'!F31-'1. Base'!F31</f>
        <v>0</v>
      </c>
      <c r="G31" s="12">
        <f>'2. Simulation'!G31-'1. Base'!G31</f>
        <v>0</v>
      </c>
      <c r="H31" s="12">
        <f>'2. Simulation'!H31-'1. Base'!H31</f>
        <v>0</v>
      </c>
      <c r="I31" s="12">
        <f>'2. Simulation'!I31-'1. Base'!I31</f>
        <v>0</v>
      </c>
      <c r="J31" s="12">
        <f>'2. Simulation'!J31-'1. Base'!J31</f>
        <v>0</v>
      </c>
      <c r="K31" s="12">
        <f>'2. Simulation'!K31-'1. Base'!K31</f>
        <v>0</v>
      </c>
      <c r="L31" s="12">
        <f>'2. Simulation'!L31-'1. Base'!L31</f>
        <v>0</v>
      </c>
      <c r="M31" s="12">
        <f>'2. Simulation'!M31-'1. Base'!M31</f>
        <v>0</v>
      </c>
      <c r="N31" s="12">
        <f>'2. Simulation'!N31-'1. Base'!N31</f>
        <v>0</v>
      </c>
      <c r="O31" s="12">
        <f>'2. Simulation'!O31-'1. Base'!O31</f>
        <v>0</v>
      </c>
      <c r="P31" s="12">
        <f>'2. Simulation'!P31-'1. Base'!P31</f>
        <v>0</v>
      </c>
      <c r="Q31" s="12">
        <f>'2. Simulation'!Q31-'1. Base'!Q31</f>
        <v>0</v>
      </c>
      <c r="R31" s="12">
        <f>'2. Simulation'!R31-'1. Base'!R31</f>
        <v>0</v>
      </c>
      <c r="S31" s="12">
        <f>'2. Simulation'!S31-'1. Base'!S31</f>
        <v>0</v>
      </c>
      <c r="T31" s="12">
        <f>'2. Simulation'!T31-'1. Base'!T31</f>
        <v>0</v>
      </c>
      <c r="U31" s="12">
        <f>'2. Simulation'!U31-'1. Base'!U31</f>
        <v>0</v>
      </c>
      <c r="V31" s="12">
        <f>'2. Simulation'!V31-'1. Base'!V31</f>
        <v>0</v>
      </c>
      <c r="W31" s="12">
        <f>'2. Simulation'!W31-'1. Base'!W31</f>
        <v>0</v>
      </c>
      <c r="X31" s="12">
        <f>'2. Simulation'!X31-'1. Base'!X31</f>
        <v>0</v>
      </c>
      <c r="Y31" s="9"/>
    </row>
    <row r="32" spans="2:25" ht="15" customHeight="1" x14ac:dyDescent="0.3">
      <c r="B32" s="34" t="s">
        <v>186</v>
      </c>
      <c r="C32" s="57"/>
      <c r="D32" s="33" t="s">
        <v>38</v>
      </c>
      <c r="E32" s="12">
        <f>'2. Simulation'!E32-'1. Base'!E32</f>
        <v>0</v>
      </c>
      <c r="F32" s="12">
        <f>'2. Simulation'!F32-'1. Base'!F32</f>
        <v>0</v>
      </c>
      <c r="G32" s="12">
        <f>'2. Simulation'!G32-'1. Base'!G32</f>
        <v>0</v>
      </c>
      <c r="H32" s="12">
        <f>'2. Simulation'!H32-'1. Base'!H32</f>
        <v>0</v>
      </c>
      <c r="I32" s="12">
        <f>'2. Simulation'!I32-'1. Base'!I32</f>
        <v>0</v>
      </c>
      <c r="J32" s="12">
        <f>'2. Simulation'!J32-'1. Base'!J32</f>
        <v>0</v>
      </c>
      <c r="K32" s="12">
        <f>'2. Simulation'!K32-'1. Base'!K32</f>
        <v>0</v>
      </c>
      <c r="L32" s="12">
        <f>'2. Simulation'!L32-'1. Base'!L32</f>
        <v>0</v>
      </c>
      <c r="M32" s="12">
        <f>'2. Simulation'!M32-'1. Base'!M32</f>
        <v>0</v>
      </c>
      <c r="N32" s="12">
        <f>'2. Simulation'!N32-'1. Base'!N32</f>
        <v>0</v>
      </c>
      <c r="O32" s="12">
        <f>'2. Simulation'!O32-'1. Base'!O32</f>
        <v>0</v>
      </c>
      <c r="P32" s="12">
        <f>'2. Simulation'!P32-'1. Base'!P32</f>
        <v>0</v>
      </c>
      <c r="Q32" s="12">
        <f>'2. Simulation'!Q32-'1. Base'!Q32</f>
        <v>0</v>
      </c>
      <c r="R32" s="12">
        <f>'2. Simulation'!R32-'1. Base'!R32</f>
        <v>0</v>
      </c>
      <c r="S32" s="12">
        <f>'2. Simulation'!S32-'1. Base'!S32</f>
        <v>0</v>
      </c>
      <c r="T32" s="12">
        <f>'2. Simulation'!T32-'1. Base'!T32</f>
        <v>0</v>
      </c>
      <c r="U32" s="12">
        <f>'2. Simulation'!U32-'1. Base'!U32</f>
        <v>0</v>
      </c>
      <c r="V32" s="12">
        <f>'2. Simulation'!V32-'1. Base'!V32</f>
        <v>0</v>
      </c>
      <c r="W32" s="12">
        <f>'2. Simulation'!W32-'1. Base'!W32</f>
        <v>0</v>
      </c>
      <c r="X32" s="12">
        <f>'2. Simulation'!X32-'1. Base'!X32</f>
        <v>0</v>
      </c>
      <c r="Y32" s="9"/>
    </row>
    <row r="33" spans="2:25" ht="15" customHeight="1" x14ac:dyDescent="0.3">
      <c r="B33" s="34" t="s">
        <v>186</v>
      </c>
      <c r="C33" s="57"/>
      <c r="D33" s="33" t="s">
        <v>39</v>
      </c>
      <c r="E33" s="12">
        <f>'2. Simulation'!E33-'1. Base'!E33</f>
        <v>0</v>
      </c>
      <c r="F33" s="12">
        <f>'2. Simulation'!F33-'1. Base'!F33</f>
        <v>0</v>
      </c>
      <c r="G33" s="12">
        <f>'2. Simulation'!G33-'1. Base'!G33</f>
        <v>0</v>
      </c>
      <c r="H33" s="12">
        <f>'2. Simulation'!H33-'1. Base'!H33</f>
        <v>0</v>
      </c>
      <c r="I33" s="12">
        <f>'2. Simulation'!I33-'1. Base'!I33</f>
        <v>0</v>
      </c>
      <c r="J33" s="12">
        <f>'2. Simulation'!J33-'1. Base'!J33</f>
        <v>0</v>
      </c>
      <c r="K33" s="12">
        <f>'2. Simulation'!K33-'1. Base'!K33</f>
        <v>0</v>
      </c>
      <c r="L33" s="12">
        <f>'2. Simulation'!L33-'1. Base'!L33</f>
        <v>0</v>
      </c>
      <c r="M33" s="12">
        <f>'2. Simulation'!M33-'1. Base'!M33</f>
        <v>0</v>
      </c>
      <c r="N33" s="12">
        <f>'2. Simulation'!N33-'1. Base'!N33</f>
        <v>0</v>
      </c>
      <c r="O33" s="12">
        <f>'2. Simulation'!O33-'1. Base'!O33</f>
        <v>0</v>
      </c>
      <c r="P33" s="12">
        <f>'2. Simulation'!P33-'1. Base'!P33</f>
        <v>0</v>
      </c>
      <c r="Q33" s="12">
        <f>'2. Simulation'!Q33-'1. Base'!Q33</f>
        <v>0</v>
      </c>
      <c r="R33" s="12">
        <f>'2. Simulation'!R33-'1. Base'!R33</f>
        <v>0</v>
      </c>
      <c r="S33" s="12">
        <f>'2. Simulation'!S33-'1. Base'!S33</f>
        <v>0</v>
      </c>
      <c r="T33" s="12">
        <f>'2. Simulation'!T33-'1. Base'!T33</f>
        <v>0</v>
      </c>
      <c r="U33" s="12">
        <f>'2. Simulation'!U33-'1. Base'!U33</f>
        <v>0</v>
      </c>
      <c r="V33" s="12">
        <f>'2. Simulation'!V33-'1. Base'!V33</f>
        <v>0</v>
      </c>
      <c r="W33" s="12">
        <f>'2. Simulation'!W33-'1. Base'!W33</f>
        <v>0</v>
      </c>
      <c r="X33" s="12">
        <f>'2. Simulation'!X33-'1. Base'!X33</f>
        <v>0</v>
      </c>
      <c r="Y33" s="9"/>
    </row>
    <row r="34" spans="2:25" ht="15" customHeight="1" x14ac:dyDescent="0.3">
      <c r="B34" s="3"/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ht="15" customHeight="1" x14ac:dyDescent="0.3">
      <c r="B35" s="34" t="s">
        <v>186</v>
      </c>
      <c r="C35" s="57" t="s">
        <v>190</v>
      </c>
      <c r="D35" s="33" t="s">
        <v>40</v>
      </c>
      <c r="E35" s="9">
        <f>'2. Simulation'!E35-'1. Base'!E35</f>
        <v>0</v>
      </c>
      <c r="F35" s="9">
        <f>'2. Simulation'!F35-'1. Base'!F35</f>
        <v>0</v>
      </c>
      <c r="G35" s="9">
        <f>'2. Simulation'!G35-'1. Base'!G35</f>
        <v>0</v>
      </c>
      <c r="H35" s="9">
        <f>'2. Simulation'!H35-'1. Base'!H35</f>
        <v>0</v>
      </c>
      <c r="I35" s="9">
        <f>'2. Simulation'!I35-'1. Base'!I35</f>
        <v>0</v>
      </c>
      <c r="J35" s="9">
        <f>'2. Simulation'!J35-'1. Base'!J35</f>
        <v>0</v>
      </c>
      <c r="K35" s="9">
        <f>'2. Simulation'!K35-'1. Base'!K35</f>
        <v>0</v>
      </c>
      <c r="L35" s="9">
        <f>'2. Simulation'!L35-'1. Base'!L35</f>
        <v>0</v>
      </c>
      <c r="M35" s="9">
        <f>'2. Simulation'!M35-'1. Base'!M35</f>
        <v>0</v>
      </c>
      <c r="N35" s="9">
        <f>'2. Simulation'!N35-'1. Base'!N35</f>
        <v>0</v>
      </c>
      <c r="O35" s="9">
        <f>'2. Simulation'!O35-'1. Base'!O35</f>
        <v>0</v>
      </c>
      <c r="P35" s="9">
        <f>'2. Simulation'!P35-'1. Base'!P35</f>
        <v>0</v>
      </c>
      <c r="Q35" s="9">
        <f>'2. Simulation'!Q35-'1. Base'!Q35</f>
        <v>0</v>
      </c>
      <c r="R35" s="9">
        <f>'2. Simulation'!R35-'1. Base'!R35</f>
        <v>0</v>
      </c>
      <c r="S35" s="9">
        <f>'2. Simulation'!S35-'1. Base'!S35</f>
        <v>0</v>
      </c>
      <c r="T35" s="9">
        <f>'2. Simulation'!T35-'1. Base'!T35</f>
        <v>0</v>
      </c>
      <c r="U35" s="9">
        <f>'2. Simulation'!U35-'1. Base'!U35</f>
        <v>0</v>
      </c>
      <c r="V35" s="9">
        <f>'2. Simulation'!V35-'1. Base'!V35</f>
        <v>0</v>
      </c>
      <c r="W35" s="9">
        <f>'2. Simulation'!W35-'1. Base'!W35</f>
        <v>0</v>
      </c>
      <c r="X35" s="9">
        <f>'2. Simulation'!X35-'1. Base'!X35</f>
        <v>0</v>
      </c>
      <c r="Y35" s="9">
        <f t="shared" ref="Y35:Y38" si="1">SUM(E35:X35)</f>
        <v>0</v>
      </c>
    </row>
    <row r="36" spans="2:25" ht="15" customHeight="1" x14ac:dyDescent="0.3">
      <c r="B36" s="34" t="s">
        <v>186</v>
      </c>
      <c r="C36" s="57"/>
      <c r="D36" s="33" t="s">
        <v>41</v>
      </c>
      <c r="E36" s="9">
        <f>'2. Simulation'!E36-'1. Base'!E36</f>
        <v>17</v>
      </c>
      <c r="F36" s="9">
        <f>'2. Simulation'!F36-'1. Base'!F36</f>
        <v>0</v>
      </c>
      <c r="G36" s="9">
        <f>'2. Simulation'!G36-'1. Base'!G36</f>
        <v>0</v>
      </c>
      <c r="H36" s="9">
        <f>'2. Simulation'!H36-'1. Base'!H36</f>
        <v>0</v>
      </c>
      <c r="I36" s="9">
        <f>'2. Simulation'!I36-'1. Base'!I36</f>
        <v>0</v>
      </c>
      <c r="J36" s="9">
        <f>'2. Simulation'!J36-'1. Base'!J36</f>
        <v>0</v>
      </c>
      <c r="K36" s="9">
        <f>'2. Simulation'!K36-'1. Base'!K36</f>
        <v>0</v>
      </c>
      <c r="L36" s="9">
        <f>'2. Simulation'!L36-'1. Base'!L36</f>
        <v>0</v>
      </c>
      <c r="M36" s="9">
        <f>'2. Simulation'!M36-'1. Base'!M36</f>
        <v>0</v>
      </c>
      <c r="N36" s="9">
        <f>'2. Simulation'!N36-'1. Base'!N36</f>
        <v>0</v>
      </c>
      <c r="O36" s="9">
        <f>'2. Simulation'!O36-'1. Base'!O36</f>
        <v>0</v>
      </c>
      <c r="P36" s="9">
        <f>'2. Simulation'!P36-'1. Base'!P36</f>
        <v>0</v>
      </c>
      <c r="Q36" s="9">
        <f>'2. Simulation'!Q36-'1. Base'!Q36</f>
        <v>0</v>
      </c>
      <c r="R36" s="9">
        <f>'2. Simulation'!R36-'1. Base'!R36</f>
        <v>0</v>
      </c>
      <c r="S36" s="9">
        <f>'2. Simulation'!S36-'1. Base'!S36</f>
        <v>0</v>
      </c>
      <c r="T36" s="9">
        <f>'2. Simulation'!T36-'1. Base'!T36</f>
        <v>0</v>
      </c>
      <c r="U36" s="9">
        <f>'2. Simulation'!U36-'1. Base'!U36</f>
        <v>0</v>
      </c>
      <c r="V36" s="9">
        <f>'2. Simulation'!V36-'1. Base'!V36</f>
        <v>0</v>
      </c>
      <c r="W36" s="9">
        <f>'2. Simulation'!W36-'1. Base'!W36</f>
        <v>0</v>
      </c>
      <c r="X36" s="9">
        <f>'2. Simulation'!X36-'1. Base'!X36</f>
        <v>0</v>
      </c>
      <c r="Y36" s="9">
        <f t="shared" si="1"/>
        <v>17</v>
      </c>
    </row>
    <row r="37" spans="2:25" ht="15" customHeight="1" x14ac:dyDescent="0.3">
      <c r="B37" s="34" t="s">
        <v>186</v>
      </c>
      <c r="C37" s="57"/>
      <c r="D37" s="33" t="s">
        <v>42</v>
      </c>
      <c r="E37" s="9">
        <f>'2. Simulation'!E37-'1. Base'!E37</f>
        <v>13</v>
      </c>
      <c r="F37" s="9">
        <f>'2. Simulation'!F37-'1. Base'!F37</f>
        <v>0</v>
      </c>
      <c r="G37" s="9">
        <f>'2. Simulation'!G37-'1. Base'!G37</f>
        <v>0</v>
      </c>
      <c r="H37" s="9">
        <f>'2. Simulation'!H37-'1. Base'!H37</f>
        <v>0</v>
      </c>
      <c r="I37" s="9">
        <f>'2. Simulation'!I37-'1. Base'!I37</f>
        <v>0</v>
      </c>
      <c r="J37" s="9">
        <f>'2. Simulation'!J37-'1. Base'!J37</f>
        <v>0</v>
      </c>
      <c r="K37" s="9">
        <f>'2. Simulation'!K37-'1. Base'!K37</f>
        <v>0</v>
      </c>
      <c r="L37" s="9">
        <f>'2. Simulation'!L37-'1. Base'!L37</f>
        <v>0</v>
      </c>
      <c r="M37" s="9">
        <f>'2. Simulation'!M37-'1. Base'!M37</f>
        <v>0</v>
      </c>
      <c r="N37" s="9">
        <f>'2. Simulation'!N37-'1. Base'!N37</f>
        <v>0</v>
      </c>
      <c r="O37" s="9">
        <f>'2. Simulation'!O37-'1. Base'!O37</f>
        <v>0</v>
      </c>
      <c r="P37" s="9">
        <f>'2. Simulation'!P37-'1. Base'!P37</f>
        <v>0</v>
      </c>
      <c r="Q37" s="9">
        <f>'2. Simulation'!Q37-'1. Base'!Q37</f>
        <v>0</v>
      </c>
      <c r="R37" s="9">
        <f>'2. Simulation'!R37-'1. Base'!R37</f>
        <v>0</v>
      </c>
      <c r="S37" s="9">
        <f>'2. Simulation'!S37-'1. Base'!S37</f>
        <v>0</v>
      </c>
      <c r="T37" s="9">
        <f>'2. Simulation'!T37-'1. Base'!T37</f>
        <v>0</v>
      </c>
      <c r="U37" s="9">
        <f>'2. Simulation'!U37-'1. Base'!U37</f>
        <v>0</v>
      </c>
      <c r="V37" s="9">
        <f>'2. Simulation'!V37-'1. Base'!V37</f>
        <v>0</v>
      </c>
      <c r="W37" s="9">
        <f>'2. Simulation'!W37-'1. Base'!W37</f>
        <v>0</v>
      </c>
      <c r="X37" s="9">
        <f>'2. Simulation'!X37-'1. Base'!X37</f>
        <v>0</v>
      </c>
      <c r="Y37" s="9">
        <f t="shared" si="1"/>
        <v>13</v>
      </c>
    </row>
    <row r="38" spans="2:25" ht="15" customHeight="1" x14ac:dyDescent="0.3">
      <c r="B38" s="34" t="s">
        <v>186</v>
      </c>
      <c r="C38" s="57"/>
      <c r="D38" s="33" t="s">
        <v>43</v>
      </c>
      <c r="E38" s="9">
        <f>'2. Simulation'!E38-'1. Base'!E38</f>
        <v>0</v>
      </c>
      <c r="F38" s="9">
        <f>'2. Simulation'!F38-'1. Base'!F38</f>
        <v>0</v>
      </c>
      <c r="G38" s="9">
        <f>'2. Simulation'!G38-'1. Base'!G38</f>
        <v>0</v>
      </c>
      <c r="H38" s="9">
        <f>'2. Simulation'!H38-'1. Base'!H38</f>
        <v>0</v>
      </c>
      <c r="I38" s="9">
        <f>'2. Simulation'!I38-'1. Base'!I38</f>
        <v>0</v>
      </c>
      <c r="J38" s="9">
        <f>'2. Simulation'!J38-'1. Base'!J38</f>
        <v>0</v>
      </c>
      <c r="K38" s="9">
        <f>'2. Simulation'!K38-'1. Base'!K38</f>
        <v>0</v>
      </c>
      <c r="L38" s="9">
        <f>'2. Simulation'!L38-'1. Base'!L38</f>
        <v>0</v>
      </c>
      <c r="M38" s="9">
        <f>'2. Simulation'!M38-'1. Base'!M38</f>
        <v>0</v>
      </c>
      <c r="N38" s="9">
        <f>'2. Simulation'!N38-'1. Base'!N38</f>
        <v>0</v>
      </c>
      <c r="O38" s="9">
        <f>'2. Simulation'!O38-'1. Base'!O38</f>
        <v>0</v>
      </c>
      <c r="P38" s="9">
        <f>'2. Simulation'!P38-'1. Base'!P38</f>
        <v>0</v>
      </c>
      <c r="Q38" s="9">
        <f>'2. Simulation'!Q38-'1. Base'!Q38</f>
        <v>0</v>
      </c>
      <c r="R38" s="9">
        <f>'2. Simulation'!R38-'1. Base'!R38</f>
        <v>0</v>
      </c>
      <c r="S38" s="9">
        <f>'2. Simulation'!S38-'1. Base'!S38</f>
        <v>0</v>
      </c>
      <c r="T38" s="9">
        <f>'2. Simulation'!T38-'1. Base'!T38</f>
        <v>0</v>
      </c>
      <c r="U38" s="9">
        <f>'2. Simulation'!U38-'1. Base'!U38</f>
        <v>0</v>
      </c>
      <c r="V38" s="9">
        <f>'2. Simulation'!V38-'1. Base'!V38</f>
        <v>0</v>
      </c>
      <c r="W38" s="9">
        <f>'2. Simulation'!W38-'1. Base'!W38</f>
        <v>0</v>
      </c>
      <c r="X38" s="9">
        <f>'2. Simulation'!X38-'1. Base'!X38</f>
        <v>0</v>
      </c>
      <c r="Y38" s="9">
        <f t="shared" si="1"/>
        <v>0</v>
      </c>
    </row>
    <row r="39" spans="2:25" ht="15" customHeight="1" x14ac:dyDescent="0.3">
      <c r="B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5" ht="15" customHeight="1" x14ac:dyDescent="0.3">
      <c r="B40" s="34" t="s">
        <v>186</v>
      </c>
      <c r="C40" s="9" t="str">
        <f>IF('2. Simulation'!C40='1. Base'!C40,"RAS","SWITCH")</f>
        <v>RAS</v>
      </c>
      <c r="D40" s="7" t="s">
        <v>44</v>
      </c>
      <c r="E40" s="9">
        <f>'2. Simulation'!E40-'1. Base'!E40</f>
        <v>0</v>
      </c>
      <c r="F40" s="9">
        <f>'2. Simulation'!F40-'1. Base'!F40</f>
        <v>0</v>
      </c>
      <c r="G40" s="9">
        <f>'2. Simulation'!G40-'1. Base'!G40</f>
        <v>0</v>
      </c>
      <c r="H40" s="9">
        <f>'2. Simulation'!H40-'1. Base'!H40</f>
        <v>0</v>
      </c>
      <c r="I40" s="9">
        <f>'2. Simulation'!I40-'1. Base'!I40</f>
        <v>0</v>
      </c>
      <c r="J40" s="9">
        <f>'2. Simulation'!J40-'1. Base'!J40</f>
        <v>0</v>
      </c>
      <c r="K40" s="9">
        <f>'2. Simulation'!K40-'1. Base'!K40</f>
        <v>0</v>
      </c>
      <c r="L40" s="9">
        <f>'2. Simulation'!L40-'1. Base'!L40</f>
        <v>0</v>
      </c>
      <c r="M40" s="9">
        <f>'2. Simulation'!M40-'1. Base'!M40</f>
        <v>0</v>
      </c>
      <c r="N40" s="9">
        <f>'2. Simulation'!N40-'1. Base'!N40</f>
        <v>0</v>
      </c>
      <c r="O40" s="9">
        <f>'2. Simulation'!O40-'1. Base'!O40</f>
        <v>0</v>
      </c>
      <c r="P40" s="9">
        <f>'2. Simulation'!P40-'1. Base'!P40</f>
        <v>0</v>
      </c>
      <c r="Q40" s="9">
        <f>'2. Simulation'!Q40-'1. Base'!Q40</f>
        <v>0</v>
      </c>
      <c r="R40" s="9">
        <f>'2. Simulation'!R40-'1. Base'!R40</f>
        <v>0</v>
      </c>
      <c r="S40" s="9">
        <f>'2. Simulation'!S40-'1. Base'!S40</f>
        <v>0</v>
      </c>
      <c r="T40" s="9">
        <f>'2. Simulation'!T40-'1. Base'!T40</f>
        <v>0</v>
      </c>
      <c r="U40" s="9">
        <f>'2. Simulation'!U40-'1. Base'!U40</f>
        <v>0</v>
      </c>
      <c r="V40" s="9">
        <f>'2. Simulation'!V40-'1. Base'!V40</f>
        <v>0</v>
      </c>
      <c r="W40" s="9">
        <f>'2. Simulation'!W40-'1. Base'!W40</f>
        <v>0</v>
      </c>
      <c r="X40" s="9">
        <f>'2. Simulation'!X40-'1. Base'!X40</f>
        <v>0</v>
      </c>
      <c r="Y40" s="13">
        <f>SUM(E40:X40)</f>
        <v>0</v>
      </c>
    </row>
    <row r="41" spans="2:25" ht="15" customHeight="1" outlineLevel="1" x14ac:dyDescent="0.3">
      <c r="B41" s="34" t="s">
        <v>186</v>
      </c>
      <c r="C41" s="13"/>
      <c r="D41" s="14" t="s">
        <v>45</v>
      </c>
      <c r="E41" s="15">
        <f>'2. Simulation'!E41-'1. Base'!E41</f>
        <v>1.1399999999999987E-3</v>
      </c>
      <c r="F41" s="15">
        <f>'2. Simulation'!F41-'1. Base'!F41</f>
        <v>0</v>
      </c>
      <c r="G41" s="15">
        <f>'2. Simulation'!G41-'1. Base'!G41</f>
        <v>0</v>
      </c>
      <c r="H41" s="15">
        <f>'2. Simulation'!H41-'1. Base'!H41</f>
        <v>0</v>
      </c>
      <c r="I41" s="15">
        <f>'2. Simulation'!I41-'1. Base'!I41</f>
        <v>0</v>
      </c>
      <c r="J41" s="15">
        <f>'2. Simulation'!J41-'1. Base'!J41</f>
        <v>0</v>
      </c>
      <c r="K41" s="15">
        <f>'2. Simulation'!K41-'1. Base'!K41</f>
        <v>0</v>
      </c>
      <c r="L41" s="15">
        <f>'2. Simulation'!L41-'1. Base'!L41</f>
        <v>0</v>
      </c>
      <c r="M41" s="15">
        <f>'2. Simulation'!M41-'1. Base'!M41</f>
        <v>0</v>
      </c>
      <c r="N41" s="15">
        <f>'2. Simulation'!N41-'1. Base'!N41</f>
        <v>0</v>
      </c>
      <c r="O41" s="15">
        <f>'2. Simulation'!O41-'1. Base'!O41</f>
        <v>0</v>
      </c>
      <c r="P41" s="15">
        <f>'2. Simulation'!P41-'1. Base'!P41</f>
        <v>0</v>
      </c>
      <c r="Q41" s="15">
        <f>'2. Simulation'!Q41-'1. Base'!Q41</f>
        <v>0</v>
      </c>
      <c r="R41" s="15">
        <f>'2. Simulation'!R41-'1. Base'!R41</f>
        <v>0</v>
      </c>
      <c r="S41" s="15">
        <f>'2. Simulation'!S41-'1. Base'!S41</f>
        <v>0</v>
      </c>
      <c r="T41" s="15">
        <f>'2. Simulation'!T41-'1. Base'!T41</f>
        <v>0</v>
      </c>
      <c r="U41" s="15">
        <f>'2. Simulation'!U41-'1. Base'!U41</f>
        <v>0</v>
      </c>
      <c r="V41" s="15">
        <f>'2. Simulation'!V41-'1. Base'!V41</f>
        <v>0</v>
      </c>
      <c r="W41" s="15">
        <f>'2. Simulation'!W41-'1. Base'!W41</f>
        <v>0</v>
      </c>
      <c r="X41" s="15">
        <f>'2. Simulation'!X41-'1. Base'!X41</f>
        <v>0</v>
      </c>
      <c r="Y41" s="15">
        <f>SUM(E41:U41)</f>
        <v>1.1399999999999987E-3</v>
      </c>
    </row>
    <row r="42" spans="2:25" ht="15" customHeight="1" x14ac:dyDescent="0.3">
      <c r="B42" s="34" t="s">
        <v>186</v>
      </c>
      <c r="C42" s="9" t="str">
        <f>IF('2. Simulation'!C42='1. Base'!C42,"RAS","SWITCH")</f>
        <v>RAS</v>
      </c>
      <c r="D42" s="7" t="s">
        <v>46</v>
      </c>
      <c r="E42" s="9">
        <f>'2. Simulation'!E42-'1. Base'!E42</f>
        <v>0</v>
      </c>
      <c r="F42" s="9">
        <f>'2. Simulation'!F42-'1. Base'!F42</f>
        <v>0</v>
      </c>
      <c r="G42" s="9">
        <f>'2. Simulation'!G42-'1. Base'!G42</f>
        <v>0</v>
      </c>
      <c r="H42" s="9">
        <f>'2. Simulation'!H42-'1. Base'!H42</f>
        <v>0</v>
      </c>
      <c r="I42" s="9">
        <f>'2. Simulation'!I42-'1. Base'!I42</f>
        <v>0</v>
      </c>
      <c r="J42" s="9">
        <f>'2. Simulation'!J42-'1. Base'!J42</f>
        <v>0</v>
      </c>
      <c r="K42" s="9">
        <f>'2. Simulation'!K42-'1. Base'!K42</f>
        <v>0</v>
      </c>
      <c r="L42" s="9">
        <f>'2. Simulation'!L42-'1. Base'!L42</f>
        <v>0</v>
      </c>
      <c r="M42" s="9">
        <f>'2. Simulation'!M42-'1. Base'!M42</f>
        <v>0</v>
      </c>
      <c r="N42" s="9">
        <f>'2. Simulation'!N42-'1. Base'!N42</f>
        <v>0</v>
      </c>
      <c r="O42" s="9">
        <f>'2. Simulation'!O42-'1. Base'!O42</f>
        <v>0</v>
      </c>
      <c r="P42" s="9">
        <f>'2. Simulation'!P42-'1. Base'!P42</f>
        <v>0</v>
      </c>
      <c r="Q42" s="9">
        <f>'2. Simulation'!Q42-'1. Base'!Q42</f>
        <v>0</v>
      </c>
      <c r="R42" s="9">
        <f>'2. Simulation'!R42-'1. Base'!R42</f>
        <v>0</v>
      </c>
      <c r="S42" s="9">
        <f>'2. Simulation'!S42-'1. Base'!S42</f>
        <v>0</v>
      </c>
      <c r="T42" s="9">
        <f>'2. Simulation'!T42-'1. Base'!T42</f>
        <v>0</v>
      </c>
      <c r="U42" s="9">
        <f>'2. Simulation'!U42-'1. Base'!U42</f>
        <v>0</v>
      </c>
      <c r="V42" s="9">
        <f>'2. Simulation'!V42-'1. Base'!V42</f>
        <v>0</v>
      </c>
      <c r="W42" s="9">
        <f>'2. Simulation'!W42-'1. Base'!W42</f>
        <v>0</v>
      </c>
      <c r="X42" s="9">
        <f>'2. Simulation'!X42-'1. Base'!X42</f>
        <v>0</v>
      </c>
      <c r="Y42" s="13">
        <f>SUM(E42:X42)</f>
        <v>0</v>
      </c>
    </row>
    <row r="43" spans="2:25" ht="15" customHeight="1" outlineLevel="1" x14ac:dyDescent="0.3">
      <c r="B43" s="34" t="s">
        <v>186</v>
      </c>
      <c r="C43" s="13"/>
      <c r="D43" s="14" t="s">
        <v>45</v>
      </c>
      <c r="E43" s="15">
        <f>'2. Simulation'!E43-'1. Base'!E43</f>
        <v>9.5999999999999905E-4</v>
      </c>
      <c r="F43" s="15">
        <f>'2. Simulation'!F43-'1. Base'!F43</f>
        <v>0</v>
      </c>
      <c r="G43" s="15">
        <f>'2. Simulation'!G43-'1. Base'!G43</f>
        <v>0</v>
      </c>
      <c r="H43" s="15">
        <f>'2. Simulation'!H43-'1. Base'!H43</f>
        <v>0</v>
      </c>
      <c r="I43" s="15">
        <f>'2. Simulation'!I43-'1. Base'!I43</f>
        <v>0</v>
      </c>
      <c r="J43" s="15">
        <f>'2. Simulation'!J43-'1. Base'!J43</f>
        <v>0</v>
      </c>
      <c r="K43" s="15">
        <f>'2. Simulation'!K43-'1. Base'!K43</f>
        <v>0</v>
      </c>
      <c r="L43" s="15">
        <f>'2. Simulation'!L43-'1. Base'!L43</f>
        <v>0</v>
      </c>
      <c r="M43" s="15">
        <f>'2. Simulation'!M43-'1. Base'!M43</f>
        <v>0</v>
      </c>
      <c r="N43" s="15">
        <f>'2. Simulation'!N43-'1. Base'!N43</f>
        <v>0</v>
      </c>
      <c r="O43" s="15">
        <f>'2. Simulation'!O43-'1. Base'!O43</f>
        <v>0</v>
      </c>
      <c r="P43" s="15">
        <f>'2. Simulation'!P43-'1. Base'!P43</f>
        <v>0</v>
      </c>
      <c r="Q43" s="15">
        <f>'2. Simulation'!Q43-'1. Base'!Q43</f>
        <v>0</v>
      </c>
      <c r="R43" s="15">
        <f>'2. Simulation'!R43-'1. Base'!R43</f>
        <v>0</v>
      </c>
      <c r="S43" s="15">
        <f>'2. Simulation'!S43-'1. Base'!S43</f>
        <v>0</v>
      </c>
      <c r="T43" s="15">
        <f>'2. Simulation'!T43-'1. Base'!T43</f>
        <v>0</v>
      </c>
      <c r="U43" s="15">
        <f>'2. Simulation'!U43-'1. Base'!U43</f>
        <v>0</v>
      </c>
      <c r="V43" s="15">
        <f>'2. Simulation'!V43-'1. Base'!V43</f>
        <v>0</v>
      </c>
      <c r="W43" s="15">
        <f>'2. Simulation'!W43-'1. Base'!W43</f>
        <v>0</v>
      </c>
      <c r="X43" s="15">
        <f>'2. Simulation'!X43-'1. Base'!X43</f>
        <v>0</v>
      </c>
      <c r="Y43" s="15">
        <f t="shared" ref="Y43:Y51" si="2">SUM(E43:U43)</f>
        <v>9.5999999999999905E-4</v>
      </c>
    </row>
    <row r="44" spans="2:25" ht="15" customHeight="1" x14ac:dyDescent="0.3">
      <c r="B44" s="34" t="s">
        <v>186</v>
      </c>
      <c r="C44" s="9" t="str">
        <f>IF('2. Simulation'!C44='1. Base'!C44,"RAS","SWITCH")</f>
        <v>RAS</v>
      </c>
      <c r="D44" s="7" t="s">
        <v>47</v>
      </c>
      <c r="E44" s="9">
        <f>'2. Simulation'!E44-'1. Base'!E44</f>
        <v>0</v>
      </c>
      <c r="F44" s="9">
        <f>'2. Simulation'!F44-'1. Base'!F44</f>
        <v>0</v>
      </c>
      <c r="G44" s="9">
        <f>'2. Simulation'!G44-'1. Base'!G44</f>
        <v>0</v>
      </c>
      <c r="H44" s="9">
        <f>'2. Simulation'!H44-'1. Base'!H44</f>
        <v>0</v>
      </c>
      <c r="I44" s="9">
        <f>'2. Simulation'!I44-'1. Base'!I44</f>
        <v>0</v>
      </c>
      <c r="J44" s="9">
        <f>'2. Simulation'!J44-'1. Base'!J44</f>
        <v>0</v>
      </c>
      <c r="K44" s="9">
        <f>'2. Simulation'!K44-'1. Base'!K44</f>
        <v>0</v>
      </c>
      <c r="L44" s="9">
        <f>'2. Simulation'!L44-'1. Base'!L44</f>
        <v>0</v>
      </c>
      <c r="M44" s="9">
        <f>'2. Simulation'!M44-'1. Base'!M44</f>
        <v>0</v>
      </c>
      <c r="N44" s="9">
        <f>'2. Simulation'!N44-'1. Base'!N44</f>
        <v>0</v>
      </c>
      <c r="O44" s="9">
        <f>'2. Simulation'!O44-'1. Base'!O44</f>
        <v>0</v>
      </c>
      <c r="P44" s="9">
        <f>'2. Simulation'!P44-'1. Base'!P44</f>
        <v>0</v>
      </c>
      <c r="Q44" s="9">
        <f>'2. Simulation'!Q44-'1. Base'!Q44</f>
        <v>0</v>
      </c>
      <c r="R44" s="9">
        <f>'2. Simulation'!R44-'1. Base'!R44</f>
        <v>0</v>
      </c>
      <c r="S44" s="9">
        <f>'2. Simulation'!S44-'1. Base'!S44</f>
        <v>0</v>
      </c>
      <c r="T44" s="9">
        <f>'2. Simulation'!T44-'1. Base'!T44</f>
        <v>0</v>
      </c>
      <c r="U44" s="9">
        <f>'2. Simulation'!U44-'1. Base'!U44</f>
        <v>0</v>
      </c>
      <c r="V44" s="9">
        <f>'2. Simulation'!V44-'1. Base'!V44</f>
        <v>0</v>
      </c>
      <c r="W44" s="9">
        <f>'2. Simulation'!W44-'1. Base'!W44</f>
        <v>0</v>
      </c>
      <c r="X44" s="9">
        <f>'2. Simulation'!X44-'1. Base'!X44</f>
        <v>0</v>
      </c>
      <c r="Y44" s="13">
        <f t="shared" ref="Y44:Y66" si="3">SUM(E44:X44)</f>
        <v>0</v>
      </c>
    </row>
    <row r="45" spans="2:25" ht="15" customHeight="1" outlineLevel="1" x14ac:dyDescent="0.3">
      <c r="B45" s="34" t="s">
        <v>186</v>
      </c>
      <c r="C45" s="13"/>
      <c r="D45" s="14" t="s">
        <v>48</v>
      </c>
      <c r="E45" s="15">
        <f>'2. Simulation'!E45-'1. Base'!E45</f>
        <v>1.6000000000000007E-3</v>
      </c>
      <c r="F45" s="15">
        <f>'2. Simulation'!F45-'1. Base'!F45</f>
        <v>0</v>
      </c>
      <c r="G45" s="15">
        <f>'2. Simulation'!G45-'1. Base'!G45</f>
        <v>0</v>
      </c>
      <c r="H45" s="15">
        <f>'2. Simulation'!H45-'1. Base'!H45</f>
        <v>0</v>
      </c>
      <c r="I45" s="15">
        <f>'2. Simulation'!I45-'1. Base'!I45</f>
        <v>0</v>
      </c>
      <c r="J45" s="15">
        <f>'2. Simulation'!J45-'1. Base'!J45</f>
        <v>0</v>
      </c>
      <c r="K45" s="15">
        <f>'2. Simulation'!K45-'1. Base'!K45</f>
        <v>0</v>
      </c>
      <c r="L45" s="15">
        <f>'2. Simulation'!L45-'1. Base'!L45</f>
        <v>0</v>
      </c>
      <c r="M45" s="15">
        <f>'2. Simulation'!M45-'1. Base'!M45</f>
        <v>0</v>
      </c>
      <c r="N45" s="15">
        <f>'2. Simulation'!N45-'1. Base'!N45</f>
        <v>0</v>
      </c>
      <c r="O45" s="15">
        <f>'2. Simulation'!O45-'1. Base'!O45</f>
        <v>0</v>
      </c>
      <c r="P45" s="15">
        <f>'2. Simulation'!P45-'1. Base'!P45</f>
        <v>0</v>
      </c>
      <c r="Q45" s="15">
        <f>'2. Simulation'!Q45-'1. Base'!Q45</f>
        <v>0</v>
      </c>
      <c r="R45" s="15">
        <f>'2. Simulation'!R45-'1. Base'!R45</f>
        <v>0</v>
      </c>
      <c r="S45" s="15">
        <f>'2. Simulation'!S45-'1. Base'!S45</f>
        <v>0</v>
      </c>
      <c r="T45" s="15">
        <f>'2. Simulation'!T45-'1. Base'!T45</f>
        <v>0</v>
      </c>
      <c r="U45" s="15">
        <f>'2. Simulation'!U45-'1. Base'!U45</f>
        <v>0</v>
      </c>
      <c r="V45" s="15">
        <f>'2. Simulation'!V45-'1. Base'!V45</f>
        <v>0</v>
      </c>
      <c r="W45" s="15">
        <f>'2. Simulation'!W45-'1. Base'!W45</f>
        <v>0</v>
      </c>
      <c r="X45" s="15">
        <f>'2. Simulation'!X45-'1. Base'!X45</f>
        <v>0</v>
      </c>
      <c r="Y45" s="15">
        <f>SUM(E45:U45)</f>
        <v>1.6000000000000007E-3</v>
      </c>
    </row>
    <row r="46" spans="2:25" ht="15" customHeight="1" x14ac:dyDescent="0.3">
      <c r="B46" s="34" t="s">
        <v>186</v>
      </c>
      <c r="C46" s="9" t="str">
        <f>IF('2. Simulation'!C46='1. Base'!C46,"RAS","SWITCH")</f>
        <v>RAS</v>
      </c>
      <c r="D46" s="7" t="s">
        <v>49</v>
      </c>
      <c r="E46" s="9">
        <f>'2. Simulation'!E46-'1. Base'!E46</f>
        <v>0</v>
      </c>
      <c r="F46" s="9">
        <f>'2. Simulation'!F46-'1. Base'!F46</f>
        <v>0</v>
      </c>
      <c r="G46" s="9">
        <f>'2. Simulation'!G46-'1. Base'!G46</f>
        <v>0</v>
      </c>
      <c r="H46" s="9">
        <f>'2. Simulation'!H46-'1. Base'!H46</f>
        <v>0</v>
      </c>
      <c r="I46" s="9">
        <f>'2. Simulation'!I46-'1. Base'!I46</f>
        <v>0</v>
      </c>
      <c r="J46" s="9">
        <f>'2. Simulation'!J46-'1. Base'!J46</f>
        <v>0</v>
      </c>
      <c r="K46" s="9">
        <f>'2. Simulation'!K46-'1. Base'!K46</f>
        <v>0</v>
      </c>
      <c r="L46" s="9">
        <f>'2. Simulation'!L46-'1. Base'!L46</f>
        <v>0</v>
      </c>
      <c r="M46" s="9">
        <f>'2. Simulation'!M46-'1. Base'!M46</f>
        <v>0</v>
      </c>
      <c r="N46" s="9">
        <f>'2. Simulation'!N46-'1. Base'!N46</f>
        <v>0</v>
      </c>
      <c r="O46" s="9">
        <f>'2. Simulation'!O46-'1. Base'!O46</f>
        <v>0</v>
      </c>
      <c r="P46" s="9">
        <f>'2. Simulation'!P46-'1. Base'!P46</f>
        <v>0</v>
      </c>
      <c r="Q46" s="9">
        <f>'2. Simulation'!Q46-'1. Base'!Q46</f>
        <v>0</v>
      </c>
      <c r="R46" s="9">
        <f>'2. Simulation'!R46-'1. Base'!R46</f>
        <v>0</v>
      </c>
      <c r="S46" s="9">
        <f>'2. Simulation'!S46-'1. Base'!S46</f>
        <v>0</v>
      </c>
      <c r="T46" s="9">
        <f>'2. Simulation'!T46-'1. Base'!T46</f>
        <v>0</v>
      </c>
      <c r="U46" s="9">
        <f>'2. Simulation'!U46-'1. Base'!U46</f>
        <v>0</v>
      </c>
      <c r="V46" s="9">
        <f>'2. Simulation'!V46-'1. Base'!V46</f>
        <v>0</v>
      </c>
      <c r="W46" s="9">
        <f>'2. Simulation'!W46-'1. Base'!W46</f>
        <v>0</v>
      </c>
      <c r="X46" s="9">
        <f>'2. Simulation'!X46-'1. Base'!X46</f>
        <v>0</v>
      </c>
      <c r="Y46" s="13">
        <f t="shared" si="3"/>
        <v>0</v>
      </c>
    </row>
    <row r="47" spans="2:25" ht="15" customHeight="1" outlineLevel="1" x14ac:dyDescent="0.3">
      <c r="B47" s="34" t="s">
        <v>186</v>
      </c>
      <c r="C47" s="13"/>
      <c r="D47" s="14" t="s">
        <v>45</v>
      </c>
      <c r="E47" s="15">
        <f>'2. Simulation'!E47-'1. Base'!E47</f>
        <v>9.5999999999999905E-4</v>
      </c>
      <c r="F47" s="15">
        <f>'2. Simulation'!F47-'1. Base'!F47</f>
        <v>0</v>
      </c>
      <c r="G47" s="15">
        <f>'2. Simulation'!G47-'1. Base'!G47</f>
        <v>0</v>
      </c>
      <c r="H47" s="15">
        <f>'2. Simulation'!H47-'1. Base'!H47</f>
        <v>0</v>
      </c>
      <c r="I47" s="15">
        <f>'2. Simulation'!I47-'1. Base'!I47</f>
        <v>0</v>
      </c>
      <c r="J47" s="15">
        <f>'2. Simulation'!J47-'1. Base'!J47</f>
        <v>0</v>
      </c>
      <c r="K47" s="15">
        <f>'2. Simulation'!K47-'1. Base'!K47</f>
        <v>0</v>
      </c>
      <c r="L47" s="15">
        <f>'2. Simulation'!L47-'1. Base'!L47</f>
        <v>0</v>
      </c>
      <c r="M47" s="15">
        <f>'2. Simulation'!M47-'1. Base'!M47</f>
        <v>0</v>
      </c>
      <c r="N47" s="15">
        <f>'2. Simulation'!N47-'1. Base'!N47</f>
        <v>0</v>
      </c>
      <c r="O47" s="15">
        <f>'2. Simulation'!O47-'1. Base'!O47</f>
        <v>0</v>
      </c>
      <c r="P47" s="15">
        <f>'2. Simulation'!P47-'1. Base'!P47</f>
        <v>0</v>
      </c>
      <c r="Q47" s="15">
        <f>'2. Simulation'!Q47-'1. Base'!Q47</f>
        <v>0</v>
      </c>
      <c r="R47" s="15">
        <f>'2. Simulation'!R47-'1. Base'!R47</f>
        <v>0</v>
      </c>
      <c r="S47" s="15">
        <f>'2. Simulation'!S47-'1. Base'!S47</f>
        <v>0</v>
      </c>
      <c r="T47" s="15">
        <f>'2. Simulation'!T47-'1. Base'!T47</f>
        <v>0</v>
      </c>
      <c r="U47" s="15">
        <f>'2. Simulation'!U47-'1. Base'!U47</f>
        <v>0</v>
      </c>
      <c r="V47" s="15">
        <f>'2. Simulation'!V47-'1. Base'!V47</f>
        <v>0</v>
      </c>
      <c r="W47" s="15">
        <f>'2. Simulation'!W47-'1. Base'!W47</f>
        <v>0</v>
      </c>
      <c r="X47" s="15">
        <f>'2. Simulation'!X47-'1. Base'!X47</f>
        <v>0</v>
      </c>
      <c r="Y47" s="15">
        <f t="shared" si="2"/>
        <v>9.5999999999999905E-4</v>
      </c>
    </row>
    <row r="48" spans="2:25" ht="15" customHeight="1" x14ac:dyDescent="0.3">
      <c r="B48" s="34" t="s">
        <v>186</v>
      </c>
      <c r="C48" s="9" t="str">
        <f>IF('2. Simulation'!C48='1. Base'!C48,"RAS","SWITCH")</f>
        <v>RAS</v>
      </c>
      <c r="D48" s="7" t="s">
        <v>50</v>
      </c>
      <c r="E48" s="9">
        <f>'2. Simulation'!E48-'1. Base'!E48</f>
        <v>0</v>
      </c>
      <c r="F48" s="9">
        <f>'2. Simulation'!F48-'1. Base'!F48</f>
        <v>0</v>
      </c>
      <c r="G48" s="9">
        <f>'2. Simulation'!G48-'1. Base'!G48</f>
        <v>0</v>
      </c>
      <c r="H48" s="9">
        <f>'2. Simulation'!H48-'1. Base'!H48</f>
        <v>0</v>
      </c>
      <c r="I48" s="9">
        <f>'2. Simulation'!I48-'1. Base'!I48</f>
        <v>0</v>
      </c>
      <c r="J48" s="9">
        <f>'2. Simulation'!J48-'1. Base'!J48</f>
        <v>0</v>
      </c>
      <c r="K48" s="9">
        <f>'2. Simulation'!K48-'1. Base'!K48</f>
        <v>0</v>
      </c>
      <c r="L48" s="9">
        <f>'2. Simulation'!L48-'1. Base'!L48</f>
        <v>0</v>
      </c>
      <c r="M48" s="9">
        <f>'2. Simulation'!M48-'1. Base'!M48</f>
        <v>0</v>
      </c>
      <c r="N48" s="9">
        <f>'2. Simulation'!N48-'1. Base'!N48</f>
        <v>0</v>
      </c>
      <c r="O48" s="9">
        <f>'2. Simulation'!O48-'1. Base'!O48</f>
        <v>0</v>
      </c>
      <c r="P48" s="9">
        <f>'2. Simulation'!P48-'1. Base'!P48</f>
        <v>0</v>
      </c>
      <c r="Q48" s="9">
        <f>'2. Simulation'!Q48-'1. Base'!Q48</f>
        <v>0</v>
      </c>
      <c r="R48" s="9">
        <f>'2. Simulation'!R48-'1. Base'!R48</f>
        <v>0</v>
      </c>
      <c r="S48" s="9">
        <f>'2. Simulation'!S48-'1. Base'!S48</f>
        <v>0</v>
      </c>
      <c r="T48" s="9">
        <f>'2. Simulation'!T48-'1. Base'!T48</f>
        <v>0</v>
      </c>
      <c r="U48" s="9">
        <f>'2. Simulation'!U48-'1. Base'!U48</f>
        <v>0</v>
      </c>
      <c r="V48" s="9">
        <f>'2. Simulation'!V48-'1. Base'!V48</f>
        <v>0</v>
      </c>
      <c r="W48" s="9">
        <f>'2. Simulation'!W48-'1. Base'!W48</f>
        <v>0</v>
      </c>
      <c r="X48" s="9">
        <f>'2. Simulation'!X48-'1. Base'!X48</f>
        <v>0</v>
      </c>
      <c r="Y48" s="13">
        <f t="shared" si="3"/>
        <v>0</v>
      </c>
    </row>
    <row r="49" spans="2:25" ht="15" customHeight="1" outlineLevel="1" x14ac:dyDescent="0.3">
      <c r="B49" s="34" t="s">
        <v>186</v>
      </c>
      <c r="C49" s="13"/>
      <c r="D49" s="14" t="s">
        <v>45</v>
      </c>
      <c r="E49" s="15">
        <f>'2. Simulation'!E49-'1. Base'!E49</f>
        <v>7.8000000000000118E-4</v>
      </c>
      <c r="F49" s="15">
        <f>'2. Simulation'!F49-'1. Base'!F49</f>
        <v>0</v>
      </c>
      <c r="G49" s="15">
        <f>'2. Simulation'!G49-'1. Base'!G49</f>
        <v>0</v>
      </c>
      <c r="H49" s="15">
        <f>'2. Simulation'!H49-'1. Base'!H49</f>
        <v>0</v>
      </c>
      <c r="I49" s="15">
        <f>'2. Simulation'!I49-'1. Base'!I49</f>
        <v>0</v>
      </c>
      <c r="J49" s="15">
        <f>'2. Simulation'!J49-'1. Base'!J49</f>
        <v>0</v>
      </c>
      <c r="K49" s="15">
        <f>'2. Simulation'!K49-'1. Base'!K49</f>
        <v>0</v>
      </c>
      <c r="L49" s="15">
        <f>'2. Simulation'!L49-'1. Base'!L49</f>
        <v>0</v>
      </c>
      <c r="M49" s="15">
        <f>'2. Simulation'!M49-'1. Base'!M49</f>
        <v>0</v>
      </c>
      <c r="N49" s="15">
        <f>'2. Simulation'!N49-'1. Base'!N49</f>
        <v>0</v>
      </c>
      <c r="O49" s="15">
        <f>'2. Simulation'!O49-'1. Base'!O49</f>
        <v>0</v>
      </c>
      <c r="P49" s="15">
        <f>'2. Simulation'!P49-'1. Base'!P49</f>
        <v>0</v>
      </c>
      <c r="Q49" s="15">
        <f>'2. Simulation'!Q49-'1. Base'!Q49</f>
        <v>0</v>
      </c>
      <c r="R49" s="15">
        <f>'2. Simulation'!R49-'1. Base'!R49</f>
        <v>0</v>
      </c>
      <c r="S49" s="15">
        <f>'2. Simulation'!S49-'1. Base'!S49</f>
        <v>0</v>
      </c>
      <c r="T49" s="15">
        <f>'2. Simulation'!T49-'1. Base'!T49</f>
        <v>0</v>
      </c>
      <c r="U49" s="15">
        <f>'2. Simulation'!U49-'1. Base'!U49</f>
        <v>0</v>
      </c>
      <c r="V49" s="15">
        <f>'2. Simulation'!V49-'1. Base'!V49</f>
        <v>0</v>
      </c>
      <c r="W49" s="15">
        <f>'2. Simulation'!W49-'1. Base'!W49</f>
        <v>0</v>
      </c>
      <c r="X49" s="15">
        <f>'2. Simulation'!X49-'1. Base'!X49</f>
        <v>0</v>
      </c>
      <c r="Y49" s="15">
        <f t="shared" si="2"/>
        <v>7.8000000000000118E-4</v>
      </c>
    </row>
    <row r="50" spans="2:25" ht="15" customHeight="1" x14ac:dyDescent="0.3">
      <c r="B50" s="34" t="s">
        <v>186</v>
      </c>
      <c r="C50" s="9" t="str">
        <f>IF('2. Simulation'!C50='1. Base'!C50,"RAS","SWITCH")</f>
        <v>RAS</v>
      </c>
      <c r="D50" s="16" t="s">
        <v>51</v>
      </c>
      <c r="E50" s="17">
        <f>'2. Simulation'!E50-'1. Base'!E50</f>
        <v>0</v>
      </c>
      <c r="F50" s="17">
        <f>'2. Simulation'!F50-'1. Base'!F50</f>
        <v>0</v>
      </c>
      <c r="G50" s="17">
        <f>'2. Simulation'!G50-'1. Base'!G50</f>
        <v>0</v>
      </c>
      <c r="H50" s="17">
        <f>'2. Simulation'!H50-'1. Base'!H50</f>
        <v>0</v>
      </c>
      <c r="I50" s="17">
        <f>'2. Simulation'!I50-'1. Base'!I50</f>
        <v>0</v>
      </c>
      <c r="J50" s="17">
        <f>'2. Simulation'!J50-'1. Base'!J50</f>
        <v>0</v>
      </c>
      <c r="K50" s="17">
        <f>'2. Simulation'!K50-'1. Base'!K50</f>
        <v>0</v>
      </c>
      <c r="L50" s="17">
        <f>'2. Simulation'!L50-'1. Base'!L50</f>
        <v>0</v>
      </c>
      <c r="M50" s="17">
        <f>'2. Simulation'!M50-'1. Base'!M50</f>
        <v>0</v>
      </c>
      <c r="N50" s="17">
        <f>'2. Simulation'!N50-'1. Base'!N50</f>
        <v>0</v>
      </c>
      <c r="O50" s="17">
        <f>'2. Simulation'!O50-'1. Base'!O50</f>
        <v>0</v>
      </c>
      <c r="P50" s="17">
        <f>'2. Simulation'!P50-'1. Base'!P50</f>
        <v>0</v>
      </c>
      <c r="Q50" s="17">
        <f>'2. Simulation'!Q50-'1. Base'!Q50</f>
        <v>0</v>
      </c>
      <c r="R50" s="17">
        <f>'2. Simulation'!R50-'1. Base'!R50</f>
        <v>0</v>
      </c>
      <c r="S50" s="17">
        <f>'2. Simulation'!S50-'1. Base'!S50</f>
        <v>0</v>
      </c>
      <c r="T50" s="17">
        <f>'2. Simulation'!T50-'1. Base'!T50</f>
        <v>0</v>
      </c>
      <c r="U50" s="17">
        <f>'2. Simulation'!U50-'1. Base'!U50</f>
        <v>0</v>
      </c>
      <c r="V50" s="17">
        <f>'2. Simulation'!V50-'1. Base'!V50</f>
        <v>0</v>
      </c>
      <c r="W50" s="17">
        <f>'2. Simulation'!W50-'1. Base'!W50</f>
        <v>0</v>
      </c>
      <c r="X50" s="17">
        <f>'2. Simulation'!X50-'1. Base'!X50</f>
        <v>0</v>
      </c>
      <c r="Y50" s="13">
        <f t="shared" si="3"/>
        <v>0</v>
      </c>
    </row>
    <row r="51" spans="2:25" ht="15" customHeight="1" outlineLevel="1" x14ac:dyDescent="0.3">
      <c r="B51" s="34" t="s">
        <v>186</v>
      </c>
      <c r="C51" s="13"/>
      <c r="D51" s="18" t="s">
        <v>137</v>
      </c>
      <c r="E51" s="19">
        <f>'2. Simulation'!E51-'1. Base'!E51</f>
        <v>0</v>
      </c>
      <c r="F51" s="19">
        <f>'2. Simulation'!F51-'1. Base'!F51</f>
        <v>0</v>
      </c>
      <c r="G51" s="19">
        <f>'2. Simulation'!G51-'1. Base'!G51</f>
        <v>0</v>
      </c>
      <c r="H51" s="19">
        <f>'2. Simulation'!H51-'1. Base'!H51</f>
        <v>0</v>
      </c>
      <c r="I51" s="19">
        <f>'2. Simulation'!I51-'1. Base'!I51</f>
        <v>0</v>
      </c>
      <c r="J51" s="19">
        <f>'2. Simulation'!J51-'1. Base'!J51</f>
        <v>0</v>
      </c>
      <c r="K51" s="19">
        <f>'2. Simulation'!K51-'1. Base'!K51</f>
        <v>0</v>
      </c>
      <c r="L51" s="19">
        <f>'2. Simulation'!L51-'1. Base'!L51</f>
        <v>0</v>
      </c>
      <c r="M51" s="19">
        <f>'2. Simulation'!M51-'1. Base'!M51</f>
        <v>0</v>
      </c>
      <c r="N51" s="19">
        <f>'2. Simulation'!N51-'1. Base'!N51</f>
        <v>0</v>
      </c>
      <c r="O51" s="19">
        <f>'2. Simulation'!O51-'1. Base'!O51</f>
        <v>0</v>
      </c>
      <c r="P51" s="19">
        <f>'2. Simulation'!P51-'1. Base'!P51</f>
        <v>0</v>
      </c>
      <c r="Q51" s="19">
        <f>'2. Simulation'!Q51-'1. Base'!Q51</f>
        <v>0</v>
      </c>
      <c r="R51" s="19">
        <f>'2. Simulation'!R51-'1. Base'!R51</f>
        <v>0</v>
      </c>
      <c r="S51" s="19">
        <f>'2. Simulation'!S51-'1. Base'!S51</f>
        <v>0</v>
      </c>
      <c r="T51" s="19">
        <f>'2. Simulation'!T51-'1. Base'!T51</f>
        <v>0</v>
      </c>
      <c r="U51" s="19">
        <f>'2. Simulation'!U51-'1. Base'!U51</f>
        <v>0</v>
      </c>
      <c r="V51" s="19">
        <f>'2. Simulation'!V51-'1. Base'!V51</f>
        <v>0</v>
      </c>
      <c r="W51" s="19">
        <f>'2. Simulation'!W51-'1. Base'!W51</f>
        <v>0</v>
      </c>
      <c r="X51" s="19">
        <f>'2. Simulation'!X51-'1. Base'!X51</f>
        <v>0</v>
      </c>
      <c r="Y51" s="15">
        <f t="shared" si="2"/>
        <v>0</v>
      </c>
    </row>
    <row r="52" spans="2:25" ht="15" customHeight="1" x14ac:dyDescent="0.3">
      <c r="B52" s="34" t="s">
        <v>186</v>
      </c>
      <c r="C52" s="9" t="str">
        <f>IF('2. Simulation'!C52='1. Base'!C52,"RAS","SWITCH")</f>
        <v>RAS</v>
      </c>
      <c r="D52" s="7" t="s">
        <v>52</v>
      </c>
      <c r="E52" s="9">
        <f>'2. Simulation'!E52-'1. Base'!E52</f>
        <v>0</v>
      </c>
      <c r="F52" s="9">
        <f>'2. Simulation'!F52-'1. Base'!F52</f>
        <v>0</v>
      </c>
      <c r="G52" s="9">
        <f>'2. Simulation'!G52-'1. Base'!G52</f>
        <v>0</v>
      </c>
      <c r="H52" s="9">
        <f>'2. Simulation'!H52-'1. Base'!H52</f>
        <v>0</v>
      </c>
      <c r="I52" s="9">
        <f>'2. Simulation'!I52-'1. Base'!I52</f>
        <v>0</v>
      </c>
      <c r="J52" s="9">
        <f>'2. Simulation'!J52-'1. Base'!J52</f>
        <v>0</v>
      </c>
      <c r="K52" s="9">
        <f>'2. Simulation'!K52-'1. Base'!K52</f>
        <v>0</v>
      </c>
      <c r="L52" s="9">
        <f>'2. Simulation'!L52-'1. Base'!L52</f>
        <v>0</v>
      </c>
      <c r="M52" s="9">
        <f>'2. Simulation'!M52-'1. Base'!M52</f>
        <v>0</v>
      </c>
      <c r="N52" s="9">
        <f>'2. Simulation'!N52-'1. Base'!N52</f>
        <v>0</v>
      </c>
      <c r="O52" s="9">
        <f>'2. Simulation'!O52-'1. Base'!O52</f>
        <v>0</v>
      </c>
      <c r="P52" s="9">
        <f>'2. Simulation'!P52-'1. Base'!P52</f>
        <v>0</v>
      </c>
      <c r="Q52" s="9">
        <f>'2. Simulation'!Q52-'1. Base'!Q52</f>
        <v>0</v>
      </c>
      <c r="R52" s="9">
        <f>'2. Simulation'!R52-'1. Base'!R52</f>
        <v>0</v>
      </c>
      <c r="S52" s="9">
        <f>'2. Simulation'!S52-'1. Base'!S52</f>
        <v>0</v>
      </c>
      <c r="T52" s="9">
        <f>'2. Simulation'!T52-'1. Base'!T52</f>
        <v>0</v>
      </c>
      <c r="U52" s="9">
        <f>'2. Simulation'!U52-'1. Base'!U52</f>
        <v>0</v>
      </c>
      <c r="V52" s="9">
        <f>'2. Simulation'!V52-'1. Base'!V52</f>
        <v>0</v>
      </c>
      <c r="W52" s="9">
        <f>'2. Simulation'!W52-'1. Base'!W52</f>
        <v>0</v>
      </c>
      <c r="X52" s="9">
        <f>'2. Simulation'!X52-'1. Base'!X52</f>
        <v>0</v>
      </c>
      <c r="Y52" s="13">
        <f t="shared" si="3"/>
        <v>0</v>
      </c>
    </row>
    <row r="53" spans="2:25" ht="15" customHeight="1" outlineLevel="1" x14ac:dyDescent="0.3">
      <c r="B53" s="34" t="s">
        <v>186</v>
      </c>
      <c r="C53" s="13"/>
      <c r="D53" s="14" t="s">
        <v>48</v>
      </c>
      <c r="E53" s="15">
        <f>'2. Simulation'!E53-'1. Base'!E53</f>
        <v>1.5200000000000005E-3</v>
      </c>
      <c r="F53" s="15">
        <f>'2. Simulation'!F53-'1. Base'!F53</f>
        <v>0</v>
      </c>
      <c r="G53" s="15">
        <f>'2. Simulation'!G53-'1. Base'!G53</f>
        <v>0</v>
      </c>
      <c r="H53" s="15">
        <f>'2. Simulation'!H53-'1. Base'!H53</f>
        <v>0</v>
      </c>
      <c r="I53" s="15">
        <f>'2. Simulation'!I53-'1. Base'!I53</f>
        <v>0</v>
      </c>
      <c r="J53" s="15">
        <f>'2. Simulation'!J53-'1. Base'!J53</f>
        <v>0</v>
      </c>
      <c r="K53" s="15">
        <f>'2. Simulation'!K53-'1. Base'!K53</f>
        <v>0</v>
      </c>
      <c r="L53" s="15">
        <f>'2. Simulation'!L53-'1. Base'!L53</f>
        <v>0</v>
      </c>
      <c r="M53" s="15">
        <f>'2. Simulation'!M53-'1. Base'!M53</f>
        <v>0</v>
      </c>
      <c r="N53" s="15">
        <f>'2. Simulation'!N53-'1. Base'!N53</f>
        <v>0</v>
      </c>
      <c r="O53" s="15">
        <f>'2. Simulation'!O53-'1. Base'!O53</f>
        <v>0</v>
      </c>
      <c r="P53" s="15">
        <f>'2. Simulation'!P53-'1. Base'!P53</f>
        <v>0</v>
      </c>
      <c r="Q53" s="15">
        <f>'2. Simulation'!Q53-'1. Base'!Q53</f>
        <v>0</v>
      </c>
      <c r="R53" s="15">
        <f>'2. Simulation'!R53-'1. Base'!R53</f>
        <v>0</v>
      </c>
      <c r="S53" s="15">
        <f>'2. Simulation'!S53-'1. Base'!S53</f>
        <v>0</v>
      </c>
      <c r="T53" s="15">
        <f>'2. Simulation'!T53-'1. Base'!T53</f>
        <v>0</v>
      </c>
      <c r="U53" s="15">
        <f>'2. Simulation'!U53-'1. Base'!U53</f>
        <v>0</v>
      </c>
      <c r="V53" s="15">
        <f>'2. Simulation'!V53-'1. Base'!V53</f>
        <v>0</v>
      </c>
      <c r="W53" s="15">
        <f>'2. Simulation'!W53-'1. Base'!W53</f>
        <v>0</v>
      </c>
      <c r="X53" s="15">
        <f>'2. Simulation'!X53-'1. Base'!X53</f>
        <v>0</v>
      </c>
      <c r="Y53" s="15">
        <f t="shared" ref="Y53:Y55" si="4">SUM(E53:U53)</f>
        <v>1.5200000000000005E-3</v>
      </c>
    </row>
    <row r="54" spans="2:25" ht="15" customHeight="1" x14ac:dyDescent="0.3">
      <c r="B54" s="34" t="s">
        <v>186</v>
      </c>
      <c r="C54" s="9" t="str">
        <f>IF('2. Simulation'!C54='1. Base'!C54,"RAS","SWITCH")</f>
        <v>RAS</v>
      </c>
      <c r="D54" s="16" t="s">
        <v>53</v>
      </c>
      <c r="E54" s="17">
        <f>'2. Simulation'!E54-'1. Base'!E54</f>
        <v>0</v>
      </c>
      <c r="F54" s="17">
        <f>'2. Simulation'!F54-'1. Base'!F54</f>
        <v>0</v>
      </c>
      <c r="G54" s="17">
        <f>'2. Simulation'!G54-'1. Base'!G54</f>
        <v>0</v>
      </c>
      <c r="H54" s="17">
        <f>'2. Simulation'!H54-'1. Base'!H54</f>
        <v>0</v>
      </c>
      <c r="I54" s="17">
        <f>'2. Simulation'!I54-'1. Base'!I54</f>
        <v>0</v>
      </c>
      <c r="J54" s="17">
        <f>'2. Simulation'!J54-'1. Base'!J54</f>
        <v>0</v>
      </c>
      <c r="K54" s="17">
        <f>'2. Simulation'!K54-'1. Base'!K54</f>
        <v>0</v>
      </c>
      <c r="L54" s="17">
        <f>'2. Simulation'!L54-'1. Base'!L54</f>
        <v>0</v>
      </c>
      <c r="M54" s="17">
        <f>'2. Simulation'!M54-'1. Base'!M54</f>
        <v>0</v>
      </c>
      <c r="N54" s="17">
        <f>'2. Simulation'!N54-'1. Base'!N54</f>
        <v>0</v>
      </c>
      <c r="O54" s="17">
        <f>'2. Simulation'!O54-'1. Base'!O54</f>
        <v>0</v>
      </c>
      <c r="P54" s="17">
        <f>'2. Simulation'!P54-'1. Base'!P54</f>
        <v>0</v>
      </c>
      <c r="Q54" s="17">
        <f>'2. Simulation'!Q54-'1. Base'!Q54</f>
        <v>0</v>
      </c>
      <c r="R54" s="17">
        <f>'2. Simulation'!R54-'1. Base'!R54</f>
        <v>0</v>
      </c>
      <c r="S54" s="17">
        <f>'2. Simulation'!S54-'1. Base'!S54</f>
        <v>0</v>
      </c>
      <c r="T54" s="17">
        <f>'2. Simulation'!T54-'1. Base'!T54</f>
        <v>0</v>
      </c>
      <c r="U54" s="17">
        <f>'2. Simulation'!U54-'1. Base'!U54</f>
        <v>0</v>
      </c>
      <c r="V54" s="17">
        <f>'2. Simulation'!V54-'1. Base'!V54</f>
        <v>0</v>
      </c>
      <c r="W54" s="17">
        <f>'2. Simulation'!W54-'1. Base'!W54</f>
        <v>0</v>
      </c>
      <c r="X54" s="17">
        <f>'2. Simulation'!X54-'1. Base'!X54</f>
        <v>0</v>
      </c>
      <c r="Y54" s="13">
        <f t="shared" si="3"/>
        <v>0</v>
      </c>
    </row>
    <row r="55" spans="2:25" ht="15" customHeight="1" outlineLevel="1" x14ac:dyDescent="0.3">
      <c r="B55" s="34" t="s">
        <v>186</v>
      </c>
      <c r="C55" s="13"/>
      <c r="D55" s="18" t="s">
        <v>45</v>
      </c>
      <c r="E55" s="19">
        <f>'2. Simulation'!E55-'1. Base'!E55</f>
        <v>0</v>
      </c>
      <c r="F55" s="19">
        <f>'2. Simulation'!F55-'1. Base'!F55</f>
        <v>0</v>
      </c>
      <c r="G55" s="19">
        <f>'2. Simulation'!G55-'1. Base'!G55</f>
        <v>0</v>
      </c>
      <c r="H55" s="19">
        <f>'2. Simulation'!H55-'1. Base'!H55</f>
        <v>0</v>
      </c>
      <c r="I55" s="19">
        <f>'2. Simulation'!I55-'1. Base'!I55</f>
        <v>0</v>
      </c>
      <c r="J55" s="19">
        <f>'2. Simulation'!J55-'1. Base'!J55</f>
        <v>0</v>
      </c>
      <c r="K55" s="19">
        <f>'2. Simulation'!K55-'1. Base'!K55</f>
        <v>0</v>
      </c>
      <c r="L55" s="19">
        <f>'2. Simulation'!L55-'1. Base'!L55</f>
        <v>0</v>
      </c>
      <c r="M55" s="19">
        <f>'2. Simulation'!M55-'1. Base'!M55</f>
        <v>0</v>
      </c>
      <c r="N55" s="19">
        <f>'2. Simulation'!N55-'1. Base'!N55</f>
        <v>0</v>
      </c>
      <c r="O55" s="19">
        <f>'2. Simulation'!O55-'1. Base'!O55</f>
        <v>0</v>
      </c>
      <c r="P55" s="19">
        <f>'2. Simulation'!P55-'1. Base'!P55</f>
        <v>0</v>
      </c>
      <c r="Q55" s="19">
        <f>'2. Simulation'!Q55-'1. Base'!Q55</f>
        <v>0</v>
      </c>
      <c r="R55" s="19">
        <f>'2. Simulation'!R55-'1. Base'!R55</f>
        <v>0</v>
      </c>
      <c r="S55" s="19">
        <f>'2. Simulation'!S55-'1. Base'!S55</f>
        <v>0</v>
      </c>
      <c r="T55" s="19">
        <f>'2. Simulation'!T55-'1. Base'!T55</f>
        <v>0</v>
      </c>
      <c r="U55" s="19">
        <f>'2. Simulation'!U55-'1. Base'!U55</f>
        <v>0</v>
      </c>
      <c r="V55" s="19">
        <f>'2. Simulation'!V55-'1. Base'!V55</f>
        <v>0</v>
      </c>
      <c r="W55" s="19">
        <f>'2. Simulation'!W55-'1. Base'!W55</f>
        <v>0</v>
      </c>
      <c r="X55" s="19">
        <f>'2. Simulation'!X55-'1. Base'!X55</f>
        <v>0</v>
      </c>
      <c r="Y55" s="15">
        <f t="shared" si="4"/>
        <v>0</v>
      </c>
    </row>
    <row r="56" spans="2:25" ht="15" customHeight="1" x14ac:dyDescent="0.3">
      <c r="B56" s="34" t="s">
        <v>186</v>
      </c>
      <c r="C56" s="9" t="str">
        <f>IF('2. Simulation'!C56='1. Base'!C56,"RAS","SWITCH")</f>
        <v>RAS</v>
      </c>
      <c r="D56" s="7" t="s">
        <v>54</v>
      </c>
      <c r="E56" s="9">
        <f>'2. Simulation'!E56-'1. Base'!E56</f>
        <v>0</v>
      </c>
      <c r="F56" s="9">
        <f>'2. Simulation'!F56-'1. Base'!F56</f>
        <v>0</v>
      </c>
      <c r="G56" s="9">
        <f>'2. Simulation'!G56-'1. Base'!G56</f>
        <v>0</v>
      </c>
      <c r="H56" s="9">
        <f>'2. Simulation'!H56-'1. Base'!H56</f>
        <v>0</v>
      </c>
      <c r="I56" s="9">
        <f>'2. Simulation'!I56-'1. Base'!I56</f>
        <v>0</v>
      </c>
      <c r="J56" s="9">
        <f>'2. Simulation'!J56-'1. Base'!J56</f>
        <v>0</v>
      </c>
      <c r="K56" s="9">
        <f>'2. Simulation'!K56-'1. Base'!K56</f>
        <v>0</v>
      </c>
      <c r="L56" s="9">
        <f>'2. Simulation'!L56-'1. Base'!L56</f>
        <v>0</v>
      </c>
      <c r="M56" s="9">
        <f>'2. Simulation'!M56-'1. Base'!M56</f>
        <v>0</v>
      </c>
      <c r="N56" s="9">
        <f>'2. Simulation'!N56-'1. Base'!N56</f>
        <v>0</v>
      </c>
      <c r="O56" s="9">
        <f>'2. Simulation'!O56-'1. Base'!O56</f>
        <v>0</v>
      </c>
      <c r="P56" s="9">
        <f>'2. Simulation'!P56-'1. Base'!P56</f>
        <v>0</v>
      </c>
      <c r="Q56" s="9">
        <f>'2. Simulation'!Q56-'1. Base'!Q56</f>
        <v>0</v>
      </c>
      <c r="R56" s="9">
        <f>'2. Simulation'!R56-'1. Base'!R56</f>
        <v>0</v>
      </c>
      <c r="S56" s="9">
        <f>'2. Simulation'!S56-'1. Base'!S56</f>
        <v>0</v>
      </c>
      <c r="T56" s="9">
        <f>'2. Simulation'!T56-'1. Base'!T56</f>
        <v>0</v>
      </c>
      <c r="U56" s="9">
        <f>'2. Simulation'!U56-'1. Base'!U56</f>
        <v>0</v>
      </c>
      <c r="V56" s="9">
        <f>'2. Simulation'!V56-'1. Base'!V56</f>
        <v>0</v>
      </c>
      <c r="W56" s="9">
        <f>'2. Simulation'!W56-'1. Base'!W56</f>
        <v>0</v>
      </c>
      <c r="X56" s="9">
        <f>'2. Simulation'!X56-'1. Base'!X56</f>
        <v>0</v>
      </c>
      <c r="Y56" s="13">
        <f t="shared" si="3"/>
        <v>0</v>
      </c>
    </row>
    <row r="57" spans="2:25" ht="15" customHeight="1" outlineLevel="1" x14ac:dyDescent="0.3">
      <c r="B57" s="34" t="s">
        <v>186</v>
      </c>
      <c r="C57" s="13"/>
      <c r="D57" s="14" t="s">
        <v>55</v>
      </c>
      <c r="E57" s="15">
        <f>'2. Simulation'!E57-'1. Base'!E57</f>
        <v>1.2800000000000016E-3</v>
      </c>
      <c r="F57" s="15">
        <f>'2. Simulation'!F57-'1. Base'!F57</f>
        <v>0</v>
      </c>
      <c r="G57" s="15">
        <f>'2. Simulation'!G57-'1. Base'!G57</f>
        <v>0</v>
      </c>
      <c r="H57" s="15">
        <f>'2. Simulation'!H57-'1. Base'!H57</f>
        <v>0</v>
      </c>
      <c r="I57" s="15">
        <f>'2. Simulation'!I57-'1. Base'!I57</f>
        <v>0</v>
      </c>
      <c r="J57" s="15">
        <f>'2. Simulation'!J57-'1. Base'!J57</f>
        <v>0</v>
      </c>
      <c r="K57" s="15">
        <f>'2. Simulation'!K57-'1. Base'!K57</f>
        <v>0</v>
      </c>
      <c r="L57" s="15">
        <f>'2. Simulation'!L57-'1. Base'!L57</f>
        <v>0</v>
      </c>
      <c r="M57" s="15">
        <f>'2. Simulation'!M57-'1. Base'!M57</f>
        <v>0</v>
      </c>
      <c r="N57" s="15">
        <f>'2. Simulation'!N57-'1. Base'!N57</f>
        <v>0</v>
      </c>
      <c r="O57" s="15">
        <f>'2. Simulation'!O57-'1. Base'!O57</f>
        <v>0</v>
      </c>
      <c r="P57" s="15">
        <f>'2. Simulation'!P57-'1. Base'!P57</f>
        <v>0</v>
      </c>
      <c r="Q57" s="15">
        <f>'2. Simulation'!Q57-'1. Base'!Q57</f>
        <v>0</v>
      </c>
      <c r="R57" s="15">
        <f>'2. Simulation'!R57-'1. Base'!R57</f>
        <v>0</v>
      </c>
      <c r="S57" s="15">
        <f>'2. Simulation'!S57-'1. Base'!S57</f>
        <v>0</v>
      </c>
      <c r="T57" s="15">
        <f>'2. Simulation'!T57-'1. Base'!T57</f>
        <v>0</v>
      </c>
      <c r="U57" s="15">
        <f>'2. Simulation'!U57-'1. Base'!U57</f>
        <v>0</v>
      </c>
      <c r="V57" s="15">
        <f>'2. Simulation'!V57-'1. Base'!V57</f>
        <v>0</v>
      </c>
      <c r="W57" s="15">
        <f>'2. Simulation'!W57-'1. Base'!W57</f>
        <v>0</v>
      </c>
      <c r="X57" s="15">
        <f>'2. Simulation'!X57-'1. Base'!X57</f>
        <v>0</v>
      </c>
      <c r="Y57" s="15">
        <f t="shared" ref="Y57:Y63" si="5">SUM(E57:U57)</f>
        <v>1.2800000000000016E-3</v>
      </c>
    </row>
    <row r="58" spans="2:25" ht="15" customHeight="1" x14ac:dyDescent="0.3">
      <c r="B58" s="34" t="s">
        <v>186</v>
      </c>
      <c r="C58" s="9" t="str">
        <f>IF('2. Simulation'!C58='1. Base'!C58,"RAS","SWITCH")</f>
        <v>RAS</v>
      </c>
      <c r="D58" s="7" t="s">
        <v>56</v>
      </c>
      <c r="E58" s="9">
        <f>'2. Simulation'!E58-'1. Base'!E58</f>
        <v>0</v>
      </c>
      <c r="F58" s="9">
        <f>'2. Simulation'!F58-'1. Base'!F58</f>
        <v>0</v>
      </c>
      <c r="G58" s="9">
        <f>'2. Simulation'!G58-'1. Base'!G58</f>
        <v>0</v>
      </c>
      <c r="H58" s="9">
        <f>'2. Simulation'!H58-'1. Base'!H58</f>
        <v>0</v>
      </c>
      <c r="I58" s="9">
        <f>'2. Simulation'!I58-'1. Base'!I58</f>
        <v>0</v>
      </c>
      <c r="J58" s="9">
        <f>'2. Simulation'!J58-'1. Base'!J58</f>
        <v>0</v>
      </c>
      <c r="K58" s="9">
        <f>'2. Simulation'!K58-'1. Base'!K58</f>
        <v>0</v>
      </c>
      <c r="L58" s="9">
        <f>'2. Simulation'!L58-'1. Base'!L58</f>
        <v>0</v>
      </c>
      <c r="M58" s="9">
        <f>'2. Simulation'!M58-'1. Base'!M58</f>
        <v>0</v>
      </c>
      <c r="N58" s="9">
        <f>'2. Simulation'!N58-'1. Base'!N58</f>
        <v>0</v>
      </c>
      <c r="O58" s="9">
        <f>'2. Simulation'!O58-'1. Base'!O58</f>
        <v>0</v>
      </c>
      <c r="P58" s="9">
        <f>'2. Simulation'!P58-'1. Base'!P58</f>
        <v>0</v>
      </c>
      <c r="Q58" s="9">
        <f>'2. Simulation'!Q58-'1. Base'!Q58</f>
        <v>0</v>
      </c>
      <c r="R58" s="9">
        <f>'2. Simulation'!R58-'1. Base'!R58</f>
        <v>0</v>
      </c>
      <c r="S58" s="9">
        <f>'2. Simulation'!S58-'1. Base'!S58</f>
        <v>0</v>
      </c>
      <c r="T58" s="9">
        <f>'2. Simulation'!T58-'1. Base'!T58</f>
        <v>0</v>
      </c>
      <c r="U58" s="9">
        <f>'2. Simulation'!U58-'1. Base'!U58</f>
        <v>0</v>
      </c>
      <c r="V58" s="9">
        <f>'2. Simulation'!V58-'1. Base'!V58</f>
        <v>0</v>
      </c>
      <c r="W58" s="9">
        <f>'2. Simulation'!W58-'1. Base'!W58</f>
        <v>0</v>
      </c>
      <c r="X58" s="9">
        <f>'2. Simulation'!X58-'1. Base'!X58</f>
        <v>0</v>
      </c>
      <c r="Y58" s="13">
        <f>SUM(E58:X58)</f>
        <v>0</v>
      </c>
    </row>
    <row r="59" spans="2:25" ht="15" customHeight="1" outlineLevel="1" x14ac:dyDescent="0.3">
      <c r="B59" s="34" t="s">
        <v>186</v>
      </c>
      <c r="C59" s="13"/>
      <c r="D59" s="14" t="s">
        <v>55</v>
      </c>
      <c r="E59" s="15">
        <f>'2. Simulation'!E59-'1. Base'!E59</f>
        <v>1.1999999999999997E-3</v>
      </c>
      <c r="F59" s="15">
        <f>'2. Simulation'!F59-'1. Base'!F59</f>
        <v>0</v>
      </c>
      <c r="G59" s="15">
        <f>'2. Simulation'!G59-'1. Base'!G59</f>
        <v>0</v>
      </c>
      <c r="H59" s="15">
        <f>'2. Simulation'!H59-'1. Base'!H59</f>
        <v>0</v>
      </c>
      <c r="I59" s="15">
        <f>'2. Simulation'!I59-'1. Base'!I59</f>
        <v>0</v>
      </c>
      <c r="J59" s="15">
        <f>'2. Simulation'!J59-'1. Base'!J59</f>
        <v>0</v>
      </c>
      <c r="K59" s="15">
        <f>'2. Simulation'!K59-'1. Base'!K59</f>
        <v>0</v>
      </c>
      <c r="L59" s="15">
        <f>'2. Simulation'!L59-'1. Base'!L59</f>
        <v>0</v>
      </c>
      <c r="M59" s="15">
        <f>'2. Simulation'!M59-'1. Base'!M59</f>
        <v>0</v>
      </c>
      <c r="N59" s="15">
        <f>'2. Simulation'!N59-'1. Base'!N59</f>
        <v>0</v>
      </c>
      <c r="O59" s="15">
        <f>'2. Simulation'!O59-'1. Base'!O59</f>
        <v>0</v>
      </c>
      <c r="P59" s="15">
        <f>'2. Simulation'!P59-'1. Base'!P59</f>
        <v>0</v>
      </c>
      <c r="Q59" s="15">
        <f>'2. Simulation'!Q59-'1. Base'!Q59</f>
        <v>0</v>
      </c>
      <c r="R59" s="15">
        <f>'2. Simulation'!R59-'1. Base'!R59</f>
        <v>0</v>
      </c>
      <c r="S59" s="15">
        <f>'2. Simulation'!S59-'1. Base'!S59</f>
        <v>0</v>
      </c>
      <c r="T59" s="15">
        <f>'2. Simulation'!T59-'1. Base'!T59</f>
        <v>0</v>
      </c>
      <c r="U59" s="15">
        <f>'2. Simulation'!U59-'1. Base'!U59</f>
        <v>0</v>
      </c>
      <c r="V59" s="15">
        <f>'2. Simulation'!V59-'1. Base'!V59</f>
        <v>0</v>
      </c>
      <c r="W59" s="15">
        <f>'2. Simulation'!W59-'1. Base'!W59</f>
        <v>0</v>
      </c>
      <c r="X59" s="15">
        <f>'2. Simulation'!X59-'1. Base'!X59</f>
        <v>0</v>
      </c>
      <c r="Y59" s="15">
        <f t="shared" si="5"/>
        <v>1.1999999999999997E-3</v>
      </c>
    </row>
    <row r="60" spans="2:25" ht="15" customHeight="1" x14ac:dyDescent="0.3">
      <c r="B60" s="34" t="s">
        <v>186</v>
      </c>
      <c r="C60" s="9" t="str">
        <f>IF('2. Simulation'!C60='1. Base'!C60,"RAS","SWITCH")</f>
        <v>RAS</v>
      </c>
      <c r="D60" s="16" t="s">
        <v>57</v>
      </c>
      <c r="E60" s="17">
        <f>'2. Simulation'!E60-'1. Base'!E60</f>
        <v>0</v>
      </c>
      <c r="F60" s="17">
        <f>'2. Simulation'!F60-'1. Base'!F60</f>
        <v>0</v>
      </c>
      <c r="G60" s="17">
        <f>'2. Simulation'!G60-'1. Base'!G60</f>
        <v>0</v>
      </c>
      <c r="H60" s="17">
        <f>'2. Simulation'!H60-'1. Base'!H60</f>
        <v>0</v>
      </c>
      <c r="I60" s="17">
        <f>'2. Simulation'!I60-'1. Base'!I60</f>
        <v>0</v>
      </c>
      <c r="J60" s="17">
        <f>'2. Simulation'!J60-'1. Base'!J60</f>
        <v>0</v>
      </c>
      <c r="K60" s="17">
        <f>'2. Simulation'!K60-'1. Base'!K60</f>
        <v>0</v>
      </c>
      <c r="L60" s="17">
        <f>'2. Simulation'!L60-'1. Base'!L60</f>
        <v>0</v>
      </c>
      <c r="M60" s="17">
        <f>'2. Simulation'!M60-'1. Base'!M60</f>
        <v>0</v>
      </c>
      <c r="N60" s="17">
        <f>'2. Simulation'!N60-'1. Base'!N60</f>
        <v>0</v>
      </c>
      <c r="O60" s="17">
        <f>'2. Simulation'!O60-'1. Base'!O60</f>
        <v>0</v>
      </c>
      <c r="P60" s="17">
        <f>'2. Simulation'!P60-'1. Base'!P60</f>
        <v>0</v>
      </c>
      <c r="Q60" s="17">
        <f>'2. Simulation'!Q60-'1. Base'!Q60</f>
        <v>0</v>
      </c>
      <c r="R60" s="17">
        <f>'2. Simulation'!R60-'1. Base'!R60</f>
        <v>0</v>
      </c>
      <c r="S60" s="17">
        <f>'2. Simulation'!S60-'1. Base'!S60</f>
        <v>0</v>
      </c>
      <c r="T60" s="17">
        <f>'2. Simulation'!T60-'1. Base'!T60</f>
        <v>0</v>
      </c>
      <c r="U60" s="17">
        <f>'2. Simulation'!U60-'1. Base'!U60</f>
        <v>0</v>
      </c>
      <c r="V60" s="17">
        <f>'2. Simulation'!V60-'1. Base'!V60</f>
        <v>0</v>
      </c>
      <c r="W60" s="17">
        <f>'2. Simulation'!W60-'1. Base'!W60</f>
        <v>0</v>
      </c>
      <c r="X60" s="17">
        <f>'2. Simulation'!X60-'1. Base'!X60</f>
        <v>0</v>
      </c>
      <c r="Y60" s="13">
        <f>SUM(E60:X60)</f>
        <v>0</v>
      </c>
    </row>
    <row r="61" spans="2:25" ht="15" customHeight="1" outlineLevel="1" x14ac:dyDescent="0.3">
      <c r="B61" s="34" t="s">
        <v>186</v>
      </c>
      <c r="C61" s="13"/>
      <c r="D61" s="18" t="s">
        <v>137</v>
      </c>
      <c r="E61" s="19">
        <f>'2. Simulation'!E61-'1. Base'!E61</f>
        <v>0</v>
      </c>
      <c r="F61" s="19">
        <f>'2. Simulation'!F61-'1. Base'!F61</f>
        <v>0</v>
      </c>
      <c r="G61" s="19">
        <f>'2. Simulation'!G61-'1. Base'!G61</f>
        <v>0</v>
      </c>
      <c r="H61" s="19">
        <f>'2. Simulation'!H61-'1. Base'!H61</f>
        <v>0</v>
      </c>
      <c r="I61" s="19">
        <f>'2. Simulation'!I61-'1. Base'!I61</f>
        <v>0</v>
      </c>
      <c r="J61" s="19">
        <f>'2. Simulation'!J61-'1. Base'!J61</f>
        <v>0</v>
      </c>
      <c r="K61" s="19">
        <f>'2. Simulation'!K61-'1. Base'!K61</f>
        <v>0</v>
      </c>
      <c r="L61" s="19">
        <f>'2. Simulation'!L61-'1. Base'!L61</f>
        <v>0</v>
      </c>
      <c r="M61" s="19">
        <f>'2. Simulation'!M61-'1. Base'!M61</f>
        <v>0</v>
      </c>
      <c r="N61" s="19">
        <f>'2. Simulation'!N61-'1. Base'!N61</f>
        <v>0</v>
      </c>
      <c r="O61" s="19">
        <f>'2. Simulation'!O61-'1. Base'!O61</f>
        <v>0</v>
      </c>
      <c r="P61" s="19">
        <f>'2. Simulation'!P61-'1. Base'!P61</f>
        <v>0</v>
      </c>
      <c r="Q61" s="19">
        <f>'2. Simulation'!Q61-'1. Base'!Q61</f>
        <v>0</v>
      </c>
      <c r="R61" s="19">
        <f>'2. Simulation'!R61-'1. Base'!R61</f>
        <v>0</v>
      </c>
      <c r="S61" s="19">
        <f>'2. Simulation'!S61-'1. Base'!S61</f>
        <v>0</v>
      </c>
      <c r="T61" s="19">
        <f>'2. Simulation'!T61-'1. Base'!T61</f>
        <v>0</v>
      </c>
      <c r="U61" s="19">
        <f>'2. Simulation'!U61-'1. Base'!U61</f>
        <v>0</v>
      </c>
      <c r="V61" s="19">
        <f>'2. Simulation'!V61-'1. Base'!V61</f>
        <v>0</v>
      </c>
      <c r="W61" s="19">
        <f>'2. Simulation'!W61-'1. Base'!W61</f>
        <v>0</v>
      </c>
      <c r="X61" s="19">
        <f>'2. Simulation'!X61-'1. Base'!X61</f>
        <v>0</v>
      </c>
      <c r="Y61" s="15">
        <f t="shared" si="5"/>
        <v>0</v>
      </c>
    </row>
    <row r="62" spans="2:25" ht="15" customHeight="1" x14ac:dyDescent="0.3">
      <c r="B62" s="34" t="s">
        <v>186</v>
      </c>
      <c r="C62" s="9" t="str">
        <f>IF('2. Simulation'!C62='1. Base'!C62,"RAS","SWITCH")</f>
        <v>RAS</v>
      </c>
      <c r="D62" s="16" t="s">
        <v>58</v>
      </c>
      <c r="E62" s="17">
        <f>'2. Simulation'!E62-'1. Base'!E62</f>
        <v>0</v>
      </c>
      <c r="F62" s="17">
        <f>'2. Simulation'!F62-'1. Base'!F62</f>
        <v>0</v>
      </c>
      <c r="G62" s="17">
        <f>'2. Simulation'!G62-'1. Base'!G62</f>
        <v>0</v>
      </c>
      <c r="H62" s="17">
        <f>'2. Simulation'!H62-'1. Base'!H62</f>
        <v>0</v>
      </c>
      <c r="I62" s="17">
        <f>'2. Simulation'!I62-'1. Base'!I62</f>
        <v>0</v>
      </c>
      <c r="J62" s="17">
        <f>'2. Simulation'!J62-'1. Base'!J62</f>
        <v>0</v>
      </c>
      <c r="K62" s="17">
        <f>'2. Simulation'!K62-'1. Base'!K62</f>
        <v>0</v>
      </c>
      <c r="L62" s="17">
        <f>'2. Simulation'!L62-'1. Base'!L62</f>
        <v>0</v>
      </c>
      <c r="M62" s="17">
        <f>'2. Simulation'!M62-'1. Base'!M62</f>
        <v>0</v>
      </c>
      <c r="N62" s="17">
        <f>'2. Simulation'!N62-'1. Base'!N62</f>
        <v>0</v>
      </c>
      <c r="O62" s="17">
        <f>'2. Simulation'!O62-'1. Base'!O62</f>
        <v>0</v>
      </c>
      <c r="P62" s="17">
        <f>'2. Simulation'!P62-'1. Base'!P62</f>
        <v>0</v>
      </c>
      <c r="Q62" s="17">
        <f>'2. Simulation'!Q62-'1. Base'!Q62</f>
        <v>0</v>
      </c>
      <c r="R62" s="17">
        <f>'2. Simulation'!R62-'1. Base'!R62</f>
        <v>0</v>
      </c>
      <c r="S62" s="17">
        <f>'2. Simulation'!S62-'1. Base'!S62</f>
        <v>0</v>
      </c>
      <c r="T62" s="17">
        <f>'2. Simulation'!T62-'1. Base'!T62</f>
        <v>0</v>
      </c>
      <c r="U62" s="17">
        <f>'2. Simulation'!U62-'1. Base'!U62</f>
        <v>0</v>
      </c>
      <c r="V62" s="17">
        <f>'2. Simulation'!V62-'1. Base'!V62</f>
        <v>0</v>
      </c>
      <c r="W62" s="17">
        <f>'2. Simulation'!W62-'1. Base'!W62</f>
        <v>0</v>
      </c>
      <c r="X62" s="17">
        <f>'2. Simulation'!X62-'1. Base'!X62</f>
        <v>0</v>
      </c>
      <c r="Y62" s="13">
        <f t="shared" si="3"/>
        <v>0</v>
      </c>
    </row>
    <row r="63" spans="2:25" ht="15" customHeight="1" outlineLevel="1" x14ac:dyDescent="0.3">
      <c r="B63" s="34" t="s">
        <v>186</v>
      </c>
      <c r="C63" s="13"/>
      <c r="D63" s="18" t="s">
        <v>48</v>
      </c>
      <c r="E63" s="19">
        <f>'2. Simulation'!E63-'1. Base'!E63</f>
        <v>0</v>
      </c>
      <c r="F63" s="19">
        <f>'2. Simulation'!F63-'1. Base'!F63</f>
        <v>0</v>
      </c>
      <c r="G63" s="19">
        <f>'2. Simulation'!G63-'1. Base'!G63</f>
        <v>0</v>
      </c>
      <c r="H63" s="19">
        <f>'2. Simulation'!H63-'1. Base'!H63</f>
        <v>0</v>
      </c>
      <c r="I63" s="19">
        <f>'2. Simulation'!I63-'1. Base'!I63</f>
        <v>0</v>
      </c>
      <c r="J63" s="19">
        <f>'2. Simulation'!J63-'1. Base'!J63</f>
        <v>0</v>
      </c>
      <c r="K63" s="19">
        <f>'2. Simulation'!K63-'1. Base'!K63</f>
        <v>0</v>
      </c>
      <c r="L63" s="19">
        <f>'2. Simulation'!L63-'1. Base'!L63</f>
        <v>0</v>
      </c>
      <c r="M63" s="19">
        <f>'2. Simulation'!M63-'1. Base'!M63</f>
        <v>0</v>
      </c>
      <c r="N63" s="19">
        <f>'2. Simulation'!N63-'1. Base'!N63</f>
        <v>0</v>
      </c>
      <c r="O63" s="19">
        <f>'2. Simulation'!O63-'1. Base'!O63</f>
        <v>0</v>
      </c>
      <c r="P63" s="19">
        <f>'2. Simulation'!P63-'1. Base'!P63</f>
        <v>0</v>
      </c>
      <c r="Q63" s="19">
        <f>'2. Simulation'!Q63-'1. Base'!Q63</f>
        <v>0</v>
      </c>
      <c r="R63" s="19">
        <f>'2. Simulation'!R63-'1. Base'!R63</f>
        <v>0</v>
      </c>
      <c r="S63" s="19">
        <f>'2. Simulation'!S63-'1. Base'!S63</f>
        <v>0</v>
      </c>
      <c r="T63" s="19">
        <f>'2. Simulation'!T63-'1. Base'!T63</f>
        <v>0</v>
      </c>
      <c r="U63" s="19">
        <f>'2. Simulation'!U63-'1. Base'!U63</f>
        <v>0</v>
      </c>
      <c r="V63" s="19">
        <f>'2. Simulation'!V63-'1. Base'!V63</f>
        <v>0</v>
      </c>
      <c r="W63" s="19">
        <f>'2. Simulation'!W63-'1. Base'!W63</f>
        <v>0</v>
      </c>
      <c r="X63" s="19">
        <f>'2. Simulation'!X63-'1. Base'!X63</f>
        <v>0</v>
      </c>
      <c r="Y63" s="15">
        <f t="shared" si="5"/>
        <v>0</v>
      </c>
    </row>
    <row r="64" spans="2:25" ht="15" customHeight="1" x14ac:dyDescent="0.3">
      <c r="B64" s="34" t="s">
        <v>186</v>
      </c>
      <c r="C64" s="9" t="str">
        <f>IF('2. Simulation'!C64='1. Base'!C64,"RAS","SWITCH")</f>
        <v>RAS</v>
      </c>
      <c r="D64" s="7" t="s">
        <v>59</v>
      </c>
      <c r="E64" s="9">
        <f>'2. Simulation'!E64-'1. Base'!E64</f>
        <v>0</v>
      </c>
      <c r="F64" s="9">
        <f>'2. Simulation'!F64-'1. Base'!F64</f>
        <v>0</v>
      </c>
      <c r="G64" s="9">
        <f>'2. Simulation'!G64-'1. Base'!G64</f>
        <v>0</v>
      </c>
      <c r="H64" s="9">
        <f>'2. Simulation'!H64-'1. Base'!H64</f>
        <v>0</v>
      </c>
      <c r="I64" s="9">
        <f>'2. Simulation'!I64-'1. Base'!I64</f>
        <v>0</v>
      </c>
      <c r="J64" s="9">
        <f>'2. Simulation'!J64-'1. Base'!J64</f>
        <v>0</v>
      </c>
      <c r="K64" s="9">
        <f>'2. Simulation'!K64-'1. Base'!K64</f>
        <v>0</v>
      </c>
      <c r="L64" s="9">
        <f>'2. Simulation'!L64-'1. Base'!L64</f>
        <v>0</v>
      </c>
      <c r="M64" s="9">
        <f>'2. Simulation'!M64-'1. Base'!M64</f>
        <v>0</v>
      </c>
      <c r="N64" s="9">
        <f>'2. Simulation'!N64-'1. Base'!N64</f>
        <v>0</v>
      </c>
      <c r="O64" s="9">
        <f>'2. Simulation'!O64-'1. Base'!O64</f>
        <v>0</v>
      </c>
      <c r="P64" s="9">
        <f>'2. Simulation'!P64-'1. Base'!P64</f>
        <v>0</v>
      </c>
      <c r="Q64" s="9">
        <f>'2. Simulation'!Q64-'1. Base'!Q64</f>
        <v>0</v>
      </c>
      <c r="R64" s="9">
        <f>'2. Simulation'!R64-'1. Base'!R64</f>
        <v>0</v>
      </c>
      <c r="S64" s="9">
        <f>'2. Simulation'!S64-'1. Base'!S64</f>
        <v>0</v>
      </c>
      <c r="T64" s="9">
        <f>'2. Simulation'!T64-'1. Base'!T64</f>
        <v>0</v>
      </c>
      <c r="U64" s="9">
        <f>'2. Simulation'!U64-'1. Base'!U64</f>
        <v>0</v>
      </c>
      <c r="V64" s="9">
        <f>'2. Simulation'!V64-'1. Base'!V64</f>
        <v>0</v>
      </c>
      <c r="W64" s="9">
        <f>'2. Simulation'!W64-'1. Base'!W64</f>
        <v>0</v>
      </c>
      <c r="X64" s="9">
        <f>'2. Simulation'!X64-'1. Base'!X64</f>
        <v>0</v>
      </c>
      <c r="Y64" s="13">
        <f t="shared" si="3"/>
        <v>0</v>
      </c>
    </row>
    <row r="65" spans="2:26" ht="15" customHeight="1" outlineLevel="1" x14ac:dyDescent="0.3">
      <c r="B65" s="34" t="s">
        <v>186</v>
      </c>
      <c r="C65" s="13"/>
      <c r="D65" s="14" t="s">
        <v>2</v>
      </c>
      <c r="E65" s="15">
        <f>'2. Simulation'!E65-'1. Base'!E65</f>
        <v>0</v>
      </c>
      <c r="F65" s="15">
        <f>'2. Simulation'!F65-'1. Base'!F65</f>
        <v>0</v>
      </c>
      <c r="G65" s="15">
        <f>'2. Simulation'!G65-'1. Base'!G65</f>
        <v>0</v>
      </c>
      <c r="H65" s="15">
        <f>'2. Simulation'!H65-'1. Base'!H65</f>
        <v>0</v>
      </c>
      <c r="I65" s="15">
        <f>'2. Simulation'!I65-'1. Base'!I65</f>
        <v>0</v>
      </c>
      <c r="J65" s="15">
        <f>'2. Simulation'!J65-'1. Base'!J65</f>
        <v>0</v>
      </c>
      <c r="K65" s="15">
        <f>'2. Simulation'!K65-'1. Base'!K65</f>
        <v>0</v>
      </c>
      <c r="L65" s="15">
        <f>'2. Simulation'!L65-'1. Base'!L65</f>
        <v>0</v>
      </c>
      <c r="M65" s="15">
        <f>'2. Simulation'!M65-'1. Base'!M65</f>
        <v>0</v>
      </c>
      <c r="N65" s="15">
        <f>'2. Simulation'!N65-'1. Base'!N65</f>
        <v>0</v>
      </c>
      <c r="O65" s="15">
        <f>'2. Simulation'!O65-'1. Base'!O65</f>
        <v>0</v>
      </c>
      <c r="P65" s="15">
        <f>'2. Simulation'!P65-'1. Base'!P65</f>
        <v>0</v>
      </c>
      <c r="Q65" s="15">
        <f>'2. Simulation'!Q65-'1. Base'!Q65</f>
        <v>0</v>
      </c>
      <c r="R65" s="15">
        <f>'2. Simulation'!R65-'1. Base'!R65</f>
        <v>0</v>
      </c>
      <c r="S65" s="15">
        <f>'2. Simulation'!S65-'1. Base'!S65</f>
        <v>0</v>
      </c>
      <c r="T65" s="15">
        <f>'2. Simulation'!T65-'1. Base'!T65</f>
        <v>0</v>
      </c>
      <c r="U65" s="15">
        <f>'2. Simulation'!U65-'1. Base'!U65</f>
        <v>0</v>
      </c>
      <c r="V65" s="15">
        <f>'2. Simulation'!V65-'1. Base'!V65</f>
        <v>0</v>
      </c>
      <c r="W65" s="15">
        <f>'2. Simulation'!W65-'1. Base'!W65</f>
        <v>0</v>
      </c>
      <c r="X65" s="15">
        <f>'2. Simulation'!X65-'1. Base'!X65</f>
        <v>0</v>
      </c>
      <c r="Y65" s="15">
        <f t="shared" ref="Y65:Y67" si="6">SUM(E65:U65)</f>
        <v>0</v>
      </c>
    </row>
    <row r="66" spans="2:26" ht="15" customHeight="1" x14ac:dyDescent="0.3">
      <c r="B66" s="34" t="s">
        <v>186</v>
      </c>
      <c r="C66" s="9" t="str">
        <f>IF('2. Simulation'!C66='1. Base'!C66,"RAS","SWITCH")</f>
        <v>RAS</v>
      </c>
      <c r="D66" s="20" t="s">
        <v>60</v>
      </c>
      <c r="E66" s="17">
        <f>'2. Simulation'!E66-'1. Base'!E66</f>
        <v>0</v>
      </c>
      <c r="F66" s="17">
        <f>'2. Simulation'!F66-'1. Base'!F66</f>
        <v>0</v>
      </c>
      <c r="G66" s="17">
        <f>'2. Simulation'!G66-'1. Base'!G66</f>
        <v>0</v>
      </c>
      <c r="H66" s="17">
        <f>'2. Simulation'!H66-'1. Base'!H66</f>
        <v>0</v>
      </c>
      <c r="I66" s="17">
        <f>'2. Simulation'!I66-'1. Base'!I66</f>
        <v>0</v>
      </c>
      <c r="J66" s="17">
        <f>'2. Simulation'!J66-'1. Base'!J66</f>
        <v>0</v>
      </c>
      <c r="K66" s="17">
        <f>'2. Simulation'!K66-'1. Base'!K66</f>
        <v>0</v>
      </c>
      <c r="L66" s="17">
        <f>'2. Simulation'!L66-'1. Base'!L66</f>
        <v>0</v>
      </c>
      <c r="M66" s="17">
        <f>'2. Simulation'!M66-'1. Base'!M66</f>
        <v>0</v>
      </c>
      <c r="N66" s="17">
        <f>'2. Simulation'!N66-'1. Base'!N66</f>
        <v>0</v>
      </c>
      <c r="O66" s="17">
        <f>'2. Simulation'!O66-'1. Base'!O66</f>
        <v>0</v>
      </c>
      <c r="P66" s="17">
        <f>'2. Simulation'!P66-'1. Base'!P66</f>
        <v>0</v>
      </c>
      <c r="Q66" s="17">
        <f>'2. Simulation'!Q66-'1. Base'!Q66</f>
        <v>0</v>
      </c>
      <c r="R66" s="17">
        <f>'2. Simulation'!R66-'1. Base'!R66</f>
        <v>0</v>
      </c>
      <c r="S66" s="17">
        <f>'2. Simulation'!S66-'1. Base'!S66</f>
        <v>0</v>
      </c>
      <c r="T66" s="17">
        <f>'2. Simulation'!T66-'1. Base'!T66</f>
        <v>0</v>
      </c>
      <c r="U66" s="17">
        <f>'2. Simulation'!U66-'1. Base'!U66</f>
        <v>0</v>
      </c>
      <c r="V66" s="17">
        <f>'2. Simulation'!V66-'1. Base'!V66</f>
        <v>0</v>
      </c>
      <c r="W66" s="17">
        <f>'2. Simulation'!W66-'1. Base'!W66</f>
        <v>0</v>
      </c>
      <c r="X66" s="17">
        <f>'2. Simulation'!X66-'1. Base'!X66</f>
        <v>0</v>
      </c>
      <c r="Y66" s="13">
        <f t="shared" si="3"/>
        <v>0</v>
      </c>
    </row>
    <row r="67" spans="2:26" ht="15" customHeight="1" outlineLevel="1" x14ac:dyDescent="0.3">
      <c r="B67" s="34" t="s">
        <v>186</v>
      </c>
      <c r="C67" s="13"/>
      <c r="D67" s="18" t="s">
        <v>48</v>
      </c>
      <c r="E67" s="19">
        <f>'2. Simulation'!E67-'1. Base'!E67</f>
        <v>0</v>
      </c>
      <c r="F67" s="19">
        <f>'2. Simulation'!F67-'1. Base'!F67</f>
        <v>0</v>
      </c>
      <c r="G67" s="19">
        <f>'2. Simulation'!G67-'1. Base'!G67</f>
        <v>0</v>
      </c>
      <c r="H67" s="19">
        <f>'2. Simulation'!H67-'1. Base'!H67</f>
        <v>0</v>
      </c>
      <c r="I67" s="19">
        <f>'2. Simulation'!I67-'1. Base'!I67</f>
        <v>0</v>
      </c>
      <c r="J67" s="19">
        <f>'2. Simulation'!J67-'1. Base'!J67</f>
        <v>0</v>
      </c>
      <c r="K67" s="19">
        <f>'2. Simulation'!K67-'1. Base'!K67</f>
        <v>0</v>
      </c>
      <c r="L67" s="19">
        <f>'2. Simulation'!L67-'1. Base'!L67</f>
        <v>0</v>
      </c>
      <c r="M67" s="19">
        <f>'2. Simulation'!M67-'1. Base'!M67</f>
        <v>0</v>
      </c>
      <c r="N67" s="19">
        <f>'2. Simulation'!N67-'1. Base'!N67</f>
        <v>0</v>
      </c>
      <c r="O67" s="19">
        <f>'2. Simulation'!O67-'1. Base'!O67</f>
        <v>0</v>
      </c>
      <c r="P67" s="19">
        <f>'2. Simulation'!P67-'1. Base'!P67</f>
        <v>0</v>
      </c>
      <c r="Q67" s="19">
        <f>'2. Simulation'!Q67-'1. Base'!Q67</f>
        <v>0</v>
      </c>
      <c r="R67" s="19">
        <f>'2. Simulation'!R67-'1. Base'!R67</f>
        <v>0</v>
      </c>
      <c r="S67" s="19">
        <f>'2. Simulation'!S67-'1. Base'!S67</f>
        <v>0</v>
      </c>
      <c r="T67" s="19">
        <f>'2. Simulation'!T67-'1. Base'!T67</f>
        <v>0</v>
      </c>
      <c r="U67" s="19">
        <f>'2. Simulation'!U67-'1. Base'!U67</f>
        <v>0</v>
      </c>
      <c r="V67" s="19">
        <f>'2. Simulation'!V67-'1. Base'!V67</f>
        <v>0</v>
      </c>
      <c r="W67" s="19">
        <f>'2. Simulation'!W67-'1. Base'!W67</f>
        <v>0</v>
      </c>
      <c r="X67" s="19">
        <f>'2. Simulation'!X67-'1. Base'!X67</f>
        <v>0</v>
      </c>
      <c r="Y67" s="15">
        <f t="shared" si="6"/>
        <v>0</v>
      </c>
    </row>
    <row r="68" spans="2:26" ht="15" customHeight="1" x14ac:dyDescent="0.3">
      <c r="B68" s="34" t="s">
        <v>186</v>
      </c>
      <c r="C68" s="9" t="str">
        <f>IF('2. Simulation'!C68='1. Base'!C68,"RAS","SWITCH")</f>
        <v>RAS</v>
      </c>
      <c r="D68" s="7" t="s">
        <v>61</v>
      </c>
      <c r="E68" s="9">
        <f>'2. Simulation'!E68-'1. Base'!E68</f>
        <v>0</v>
      </c>
      <c r="F68" s="9">
        <f>'2. Simulation'!F68-'1. Base'!F68</f>
        <v>0</v>
      </c>
      <c r="G68" s="9">
        <f>'2. Simulation'!G68-'1. Base'!G68</f>
        <v>0</v>
      </c>
      <c r="H68" s="9">
        <f>'2. Simulation'!H68-'1. Base'!H68</f>
        <v>0</v>
      </c>
      <c r="I68" s="9">
        <f>'2. Simulation'!I68-'1. Base'!I68</f>
        <v>0</v>
      </c>
      <c r="J68" s="9">
        <f>'2. Simulation'!J68-'1. Base'!J68</f>
        <v>0</v>
      </c>
      <c r="K68" s="9">
        <f>'2. Simulation'!K68-'1. Base'!K68</f>
        <v>0</v>
      </c>
      <c r="L68" s="9">
        <f>'2. Simulation'!L68-'1. Base'!L68</f>
        <v>0</v>
      </c>
      <c r="M68" s="9">
        <f>'2. Simulation'!M68-'1. Base'!M68</f>
        <v>0</v>
      </c>
      <c r="N68" s="9">
        <f>'2. Simulation'!N68-'1. Base'!N68</f>
        <v>0</v>
      </c>
      <c r="O68" s="9">
        <f>'2. Simulation'!O68-'1. Base'!O68</f>
        <v>0</v>
      </c>
      <c r="P68" s="9">
        <f>'2. Simulation'!P68-'1. Base'!P68</f>
        <v>0</v>
      </c>
      <c r="Q68" s="9">
        <f>'2. Simulation'!Q68-'1. Base'!Q68</f>
        <v>0</v>
      </c>
      <c r="R68" s="9">
        <f>'2. Simulation'!R68-'1. Base'!R68</f>
        <v>0</v>
      </c>
      <c r="S68" s="9">
        <f>'2. Simulation'!S68-'1. Base'!S68</f>
        <v>0</v>
      </c>
      <c r="T68" s="9">
        <f>'2. Simulation'!T68-'1. Base'!T68</f>
        <v>0</v>
      </c>
      <c r="U68" s="9">
        <f>'2. Simulation'!U68-'1. Base'!U68</f>
        <v>0</v>
      </c>
      <c r="V68" s="9">
        <f>'2. Simulation'!V68-'1. Base'!V68</f>
        <v>0</v>
      </c>
      <c r="W68" s="9">
        <f>'2. Simulation'!W68-'1. Base'!W68</f>
        <v>0</v>
      </c>
      <c r="X68" s="9">
        <f>'2. Simulation'!X68-'1. Base'!X68</f>
        <v>0</v>
      </c>
      <c r="Y68" s="13">
        <f>SUM(E68:X68)</f>
        <v>0</v>
      </c>
    </row>
    <row r="69" spans="2:26" ht="15" customHeight="1" outlineLevel="1" x14ac:dyDescent="0.3">
      <c r="B69" s="34" t="s">
        <v>186</v>
      </c>
      <c r="C69" s="11"/>
      <c r="D69" s="14" t="s">
        <v>45</v>
      </c>
      <c r="E69" s="15">
        <f>'2. Simulation'!E69-'1. Base'!E69</f>
        <v>8.9999999999999976E-4</v>
      </c>
      <c r="F69" s="15">
        <f>'2. Simulation'!F69-'1. Base'!F69</f>
        <v>0</v>
      </c>
      <c r="G69" s="15">
        <f>'2. Simulation'!G69-'1. Base'!G69</f>
        <v>0</v>
      </c>
      <c r="H69" s="15">
        <f>'2. Simulation'!H69-'1. Base'!H69</f>
        <v>0</v>
      </c>
      <c r="I69" s="15">
        <f>'2. Simulation'!I69-'1. Base'!I69</f>
        <v>0</v>
      </c>
      <c r="J69" s="15">
        <f>'2. Simulation'!J69-'1. Base'!J69</f>
        <v>0</v>
      </c>
      <c r="K69" s="15">
        <f>'2. Simulation'!K69-'1. Base'!K69</f>
        <v>0</v>
      </c>
      <c r="L69" s="15">
        <f>'2. Simulation'!L69-'1. Base'!L69</f>
        <v>0</v>
      </c>
      <c r="M69" s="15">
        <f>'2. Simulation'!M69-'1. Base'!M69</f>
        <v>0</v>
      </c>
      <c r="N69" s="15">
        <f>'2. Simulation'!N69-'1. Base'!N69</f>
        <v>0</v>
      </c>
      <c r="O69" s="15">
        <f>'2. Simulation'!O69-'1. Base'!O69</f>
        <v>0</v>
      </c>
      <c r="P69" s="15">
        <f>'2. Simulation'!P69-'1. Base'!P69</f>
        <v>0</v>
      </c>
      <c r="Q69" s="15">
        <f>'2. Simulation'!Q69-'1. Base'!Q69</f>
        <v>0</v>
      </c>
      <c r="R69" s="15">
        <f>'2. Simulation'!R69-'1. Base'!R69</f>
        <v>0</v>
      </c>
      <c r="S69" s="15">
        <f>'2. Simulation'!S69-'1. Base'!S69</f>
        <v>0</v>
      </c>
      <c r="T69" s="15">
        <f>'2. Simulation'!T69-'1. Base'!T69</f>
        <v>0</v>
      </c>
      <c r="U69" s="15">
        <f>'2. Simulation'!U69-'1. Base'!U69</f>
        <v>0</v>
      </c>
      <c r="V69" s="15">
        <f>'2. Simulation'!V69-'1. Base'!V69</f>
        <v>0</v>
      </c>
      <c r="W69" s="15">
        <f>'2. Simulation'!W69-'1. Base'!W69</f>
        <v>0</v>
      </c>
      <c r="X69" s="15">
        <f>'2. Simulation'!X69-'1. Base'!X69</f>
        <v>0</v>
      </c>
      <c r="Y69" s="15">
        <f t="shared" ref="Y69" si="7">SUM(E69:U69)</f>
        <v>8.9999999999999976E-4</v>
      </c>
    </row>
    <row r="70" spans="2:26" ht="15" customHeight="1" x14ac:dyDescent="0.3"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2:26" ht="15" customHeight="1" outlineLevel="1" x14ac:dyDescent="0.3">
      <c r="B71" s="34" t="s">
        <v>186</v>
      </c>
      <c r="D71" s="9" t="s">
        <v>178</v>
      </c>
      <c r="E71" s="27">
        <f>E41+E43+E47+E49+E55+E57+E59+E69</f>
        <v>7.219999999999999E-3</v>
      </c>
      <c r="F71" s="27">
        <f t="shared" ref="F71:U71" si="8">F41+F43+F47+F49+F55+F57+F59+F69</f>
        <v>0</v>
      </c>
      <c r="G71" s="27">
        <f t="shared" si="8"/>
        <v>0</v>
      </c>
      <c r="H71" s="27">
        <f t="shared" si="8"/>
        <v>0</v>
      </c>
      <c r="I71" s="27">
        <f t="shared" si="8"/>
        <v>0</v>
      </c>
      <c r="J71" s="27">
        <f t="shared" si="8"/>
        <v>0</v>
      </c>
      <c r="K71" s="27">
        <f t="shared" si="8"/>
        <v>0</v>
      </c>
      <c r="L71" s="27">
        <f t="shared" si="8"/>
        <v>0</v>
      </c>
      <c r="M71" s="27">
        <f t="shared" si="8"/>
        <v>0</v>
      </c>
      <c r="N71" s="27">
        <f t="shared" si="8"/>
        <v>0</v>
      </c>
      <c r="O71" s="27">
        <f t="shared" si="8"/>
        <v>0</v>
      </c>
      <c r="P71" s="27">
        <f t="shared" si="8"/>
        <v>0</v>
      </c>
      <c r="Q71" s="27">
        <f t="shared" si="8"/>
        <v>0</v>
      </c>
      <c r="R71" s="27">
        <f t="shared" si="8"/>
        <v>0</v>
      </c>
      <c r="S71" s="27">
        <f t="shared" si="8"/>
        <v>0</v>
      </c>
      <c r="T71" s="27">
        <f t="shared" si="8"/>
        <v>0</v>
      </c>
      <c r="U71" s="27">
        <f t="shared" si="8"/>
        <v>0</v>
      </c>
      <c r="V71" s="27">
        <f t="shared" ref="V71:X71" si="9">V41+V43+V47+V49+V55+V57+V59+V69</f>
        <v>0</v>
      </c>
      <c r="W71" s="27">
        <f t="shared" si="9"/>
        <v>0</v>
      </c>
      <c r="X71" s="27">
        <f t="shared" si="9"/>
        <v>0</v>
      </c>
      <c r="Y71" s="15">
        <f>SUM(E71:U71)</f>
        <v>7.219999999999999E-3</v>
      </c>
      <c r="Z71" s="42" t="s">
        <v>192</v>
      </c>
    </row>
    <row r="72" spans="2:26" ht="15" customHeight="1" outlineLevel="1" x14ac:dyDescent="0.3">
      <c r="B72" s="34" t="s">
        <v>186</v>
      </c>
      <c r="D72" s="9" t="s">
        <v>179</v>
      </c>
      <c r="E72" s="27">
        <f>E41+E43+E47+E49+E51+E55+E61+E69</f>
        <v>4.7399999999999977E-3</v>
      </c>
      <c r="F72" s="27">
        <f t="shared" ref="F72:U72" si="10">F41+F43+F47+F49+F51+F55+F61+F69</f>
        <v>0</v>
      </c>
      <c r="G72" s="27">
        <f t="shared" si="10"/>
        <v>0</v>
      </c>
      <c r="H72" s="27">
        <f t="shared" si="10"/>
        <v>0</v>
      </c>
      <c r="I72" s="27">
        <f t="shared" si="10"/>
        <v>0</v>
      </c>
      <c r="J72" s="27">
        <f t="shared" si="10"/>
        <v>0</v>
      </c>
      <c r="K72" s="27">
        <f t="shared" si="10"/>
        <v>0</v>
      </c>
      <c r="L72" s="27">
        <f t="shared" si="10"/>
        <v>0</v>
      </c>
      <c r="M72" s="27">
        <f t="shared" si="10"/>
        <v>0</v>
      </c>
      <c r="N72" s="27">
        <f t="shared" si="10"/>
        <v>0</v>
      </c>
      <c r="O72" s="27">
        <f t="shared" si="10"/>
        <v>0</v>
      </c>
      <c r="P72" s="27">
        <f t="shared" si="10"/>
        <v>0</v>
      </c>
      <c r="Q72" s="27">
        <f t="shared" si="10"/>
        <v>0</v>
      </c>
      <c r="R72" s="27">
        <f t="shared" si="10"/>
        <v>0</v>
      </c>
      <c r="S72" s="27">
        <f t="shared" si="10"/>
        <v>0</v>
      </c>
      <c r="T72" s="27">
        <f t="shared" si="10"/>
        <v>0</v>
      </c>
      <c r="U72" s="27">
        <f t="shared" si="10"/>
        <v>0</v>
      </c>
      <c r="V72" s="27">
        <f t="shared" ref="V72:X72" si="11">V41+V43+V47+V49+V51+V55+V61+V69</f>
        <v>0</v>
      </c>
      <c r="W72" s="27">
        <f t="shared" si="11"/>
        <v>0</v>
      </c>
      <c r="X72" s="27">
        <f t="shared" si="11"/>
        <v>0</v>
      </c>
      <c r="Y72" s="15">
        <f>SUM(E72:U72)</f>
        <v>4.7399999999999977E-3</v>
      </c>
      <c r="Z72" s="42" t="s">
        <v>193</v>
      </c>
    </row>
    <row r="73" spans="2:26" ht="15" customHeight="1" outlineLevel="1" x14ac:dyDescent="0.3">
      <c r="B73" s="34" t="s">
        <v>186</v>
      </c>
      <c r="D73" s="9" t="s">
        <v>180</v>
      </c>
      <c r="E73" s="27">
        <f>E41+E43+E45+E47+E49+E53+E55+E63+E67+E69</f>
        <v>7.8599999999999989E-3</v>
      </c>
      <c r="F73" s="27">
        <f t="shared" ref="F73:U73" si="12">F41+F43+F45+F47+F49+F53+F55+F63+F67+F69</f>
        <v>0</v>
      </c>
      <c r="G73" s="27">
        <f t="shared" si="12"/>
        <v>0</v>
      </c>
      <c r="H73" s="27">
        <f t="shared" si="12"/>
        <v>0</v>
      </c>
      <c r="I73" s="27">
        <f t="shared" si="12"/>
        <v>0</v>
      </c>
      <c r="J73" s="27">
        <f t="shared" si="12"/>
        <v>0</v>
      </c>
      <c r="K73" s="27">
        <f t="shared" si="12"/>
        <v>0</v>
      </c>
      <c r="L73" s="27">
        <f t="shared" si="12"/>
        <v>0</v>
      </c>
      <c r="M73" s="27">
        <f t="shared" si="12"/>
        <v>0</v>
      </c>
      <c r="N73" s="27">
        <f t="shared" si="12"/>
        <v>0</v>
      </c>
      <c r="O73" s="27">
        <f t="shared" si="12"/>
        <v>0</v>
      </c>
      <c r="P73" s="27">
        <f t="shared" si="12"/>
        <v>0</v>
      </c>
      <c r="Q73" s="27">
        <f t="shared" si="12"/>
        <v>0</v>
      </c>
      <c r="R73" s="27">
        <f t="shared" si="12"/>
        <v>0</v>
      </c>
      <c r="S73" s="27">
        <f t="shared" si="12"/>
        <v>0</v>
      </c>
      <c r="T73" s="27">
        <f t="shared" si="12"/>
        <v>0</v>
      </c>
      <c r="U73" s="27">
        <f t="shared" si="12"/>
        <v>0</v>
      </c>
      <c r="V73" s="27">
        <f t="shared" ref="V73:X73" si="13">V41+V43+V45+V47+V49+V53+V55+V63+V67+V69</f>
        <v>0</v>
      </c>
      <c r="W73" s="27">
        <f t="shared" si="13"/>
        <v>0</v>
      </c>
      <c r="X73" s="27">
        <f t="shared" si="13"/>
        <v>0</v>
      </c>
      <c r="Y73" s="15">
        <f>SUM(E73:U73)</f>
        <v>7.8599999999999989E-3</v>
      </c>
      <c r="Z73" s="42" t="s">
        <v>194</v>
      </c>
    </row>
    <row r="74" spans="2:26" ht="15" customHeight="1" x14ac:dyDescent="0.3"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2:26" ht="15" customHeight="1" x14ac:dyDescent="0.3">
      <c r="B75" s="5" t="s">
        <v>169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2:26" ht="15" customHeight="1" outlineLevel="1" x14ac:dyDescent="0.3">
      <c r="B76" s="35" t="s">
        <v>186</v>
      </c>
      <c r="C76" s="9" t="s">
        <v>62</v>
      </c>
      <c r="D76" s="9" t="s">
        <v>176</v>
      </c>
      <c r="E76" s="9">
        <f>'2. Simulation'!E76-'1. Base'!E76</f>
        <v>0</v>
      </c>
      <c r="F76" s="9">
        <f>'2. Simulation'!F76-'1. Base'!F76</f>
        <v>0</v>
      </c>
      <c r="G76" s="9">
        <f>'2. Simulation'!G76-'1. Base'!G76</f>
        <v>0</v>
      </c>
      <c r="H76" s="9">
        <f>'2. Simulation'!H76-'1. Base'!H76</f>
        <v>0</v>
      </c>
      <c r="I76" s="9">
        <f>'2. Simulation'!I76-'1. Base'!I76</f>
        <v>0</v>
      </c>
      <c r="J76" s="9">
        <f>'2. Simulation'!J76-'1. Base'!J76</f>
        <v>0</v>
      </c>
      <c r="K76" s="9">
        <f>'2. Simulation'!K76-'1. Base'!K76</f>
        <v>0</v>
      </c>
      <c r="L76" s="9">
        <f>'2. Simulation'!L76-'1. Base'!L76</f>
        <v>0</v>
      </c>
      <c r="M76" s="9">
        <f>'2. Simulation'!M76-'1. Base'!M76</f>
        <v>0</v>
      </c>
      <c r="N76" s="9">
        <f>'2. Simulation'!N76-'1. Base'!N76</f>
        <v>0</v>
      </c>
      <c r="O76" s="9">
        <f>'2. Simulation'!O76-'1. Base'!O76</f>
        <v>0</v>
      </c>
      <c r="P76" s="9">
        <f>'2. Simulation'!P76-'1. Base'!P76</f>
        <v>0</v>
      </c>
      <c r="Q76" s="9">
        <f>'2. Simulation'!Q76-'1. Base'!Q76</f>
        <v>0</v>
      </c>
      <c r="R76" s="9">
        <f>'2. Simulation'!R76-'1. Base'!R76</f>
        <v>0</v>
      </c>
      <c r="S76" s="9">
        <f>'2. Simulation'!S76-'1. Base'!S76</f>
        <v>0</v>
      </c>
      <c r="T76" s="9">
        <f>'2. Simulation'!T76-'1. Base'!T76</f>
        <v>0</v>
      </c>
      <c r="U76" s="9">
        <f>'2. Simulation'!U76-'1. Base'!U76</f>
        <v>0</v>
      </c>
      <c r="V76" s="9">
        <f>'2. Simulation'!V76-'1. Base'!V76</f>
        <v>0</v>
      </c>
      <c r="W76" s="9">
        <f>'2. Simulation'!W76-'1. Base'!W76</f>
        <v>0</v>
      </c>
      <c r="X76" s="9">
        <f>'2. Simulation'!X76-'1. Base'!X76</f>
        <v>0</v>
      </c>
      <c r="Y76" s="22">
        <f>SUM(E76:X76)</f>
        <v>0</v>
      </c>
      <c r="Z76" s="42" t="s">
        <v>192</v>
      </c>
    </row>
    <row r="77" spans="2:26" ht="15" customHeight="1" outlineLevel="1" x14ac:dyDescent="0.3">
      <c r="B77" s="35" t="s">
        <v>186</v>
      </c>
      <c r="C77" s="9" t="s">
        <v>62</v>
      </c>
      <c r="D77" s="9" t="s">
        <v>177</v>
      </c>
      <c r="E77" s="9">
        <f>'2. Simulation'!E77-'1. Base'!E77</f>
        <v>0</v>
      </c>
      <c r="F77" s="9">
        <f>'2. Simulation'!F77-'1. Base'!F77</f>
        <v>0</v>
      </c>
      <c r="G77" s="9">
        <f>'2. Simulation'!G77-'1. Base'!G77</f>
        <v>0</v>
      </c>
      <c r="H77" s="9">
        <f>'2. Simulation'!H77-'1. Base'!H77</f>
        <v>0</v>
      </c>
      <c r="I77" s="9">
        <f>'2. Simulation'!I77-'1. Base'!I77</f>
        <v>0</v>
      </c>
      <c r="J77" s="9">
        <f>'2. Simulation'!J77-'1. Base'!J77</f>
        <v>0</v>
      </c>
      <c r="K77" s="9">
        <f>'2. Simulation'!K77-'1. Base'!K77</f>
        <v>0</v>
      </c>
      <c r="L77" s="9">
        <f>'2. Simulation'!L77-'1. Base'!L77</f>
        <v>0</v>
      </c>
      <c r="M77" s="9">
        <f>'2. Simulation'!M77-'1. Base'!M77</f>
        <v>0</v>
      </c>
      <c r="N77" s="9">
        <f>'2. Simulation'!N77-'1. Base'!N77</f>
        <v>0</v>
      </c>
      <c r="O77" s="9">
        <f>'2. Simulation'!O77-'1. Base'!O77</f>
        <v>0</v>
      </c>
      <c r="P77" s="9">
        <f>'2. Simulation'!P77-'1. Base'!P77</f>
        <v>0</v>
      </c>
      <c r="Q77" s="9">
        <f>'2. Simulation'!Q77-'1. Base'!Q77</f>
        <v>0</v>
      </c>
      <c r="R77" s="9">
        <f>'2. Simulation'!R77-'1. Base'!R77</f>
        <v>0</v>
      </c>
      <c r="S77" s="9">
        <f>'2. Simulation'!S77-'1. Base'!S77</f>
        <v>0</v>
      </c>
      <c r="T77" s="9">
        <f>'2. Simulation'!T77-'1. Base'!T77</f>
        <v>0</v>
      </c>
      <c r="U77" s="9">
        <f>'2. Simulation'!U77-'1. Base'!U77</f>
        <v>0</v>
      </c>
      <c r="V77" s="9">
        <f>'2. Simulation'!V77-'1. Base'!V77</f>
        <v>0</v>
      </c>
      <c r="W77" s="9">
        <f>'2. Simulation'!W77-'1. Base'!W77</f>
        <v>0</v>
      </c>
      <c r="X77" s="9">
        <f>'2. Simulation'!X77-'1. Base'!X77</f>
        <v>0</v>
      </c>
      <c r="Y77" s="22">
        <f>SUM(E77:X77)</f>
        <v>0</v>
      </c>
      <c r="Z77" s="42" t="s">
        <v>193</v>
      </c>
    </row>
    <row r="78" spans="2:26" ht="15" customHeight="1" outlineLevel="1" x14ac:dyDescent="0.3">
      <c r="B78" s="35" t="s">
        <v>186</v>
      </c>
      <c r="C78" s="9" t="s">
        <v>62</v>
      </c>
      <c r="D78" s="9" t="s">
        <v>63</v>
      </c>
      <c r="E78" s="22">
        <f>'2. Simulation'!E78-'1. Base'!E78</f>
        <v>0</v>
      </c>
      <c r="F78" s="22">
        <f>'2. Simulation'!F78-'1. Base'!F78</f>
        <v>0</v>
      </c>
      <c r="G78" s="22">
        <f>'2. Simulation'!G78-'1. Base'!G78</f>
        <v>0</v>
      </c>
      <c r="H78" s="22">
        <f>'2. Simulation'!H78-'1. Base'!H78</f>
        <v>0</v>
      </c>
      <c r="I78" s="22">
        <f>'2. Simulation'!I78-'1. Base'!I78</f>
        <v>0</v>
      </c>
      <c r="J78" s="22">
        <f>'2. Simulation'!J78-'1. Base'!J78</f>
        <v>0</v>
      </c>
      <c r="K78" s="22">
        <f>'2. Simulation'!K78-'1. Base'!K78</f>
        <v>0</v>
      </c>
      <c r="L78" s="22">
        <f>'2. Simulation'!L78-'1. Base'!L78</f>
        <v>0</v>
      </c>
      <c r="M78" s="22">
        <f>'2. Simulation'!M78-'1. Base'!M78</f>
        <v>0</v>
      </c>
      <c r="N78" s="22">
        <f>'2. Simulation'!N78-'1. Base'!N78</f>
        <v>0</v>
      </c>
      <c r="O78" s="22">
        <f>'2. Simulation'!O78-'1. Base'!O78</f>
        <v>0</v>
      </c>
      <c r="P78" s="22">
        <f>'2. Simulation'!P78-'1. Base'!P78</f>
        <v>0</v>
      </c>
      <c r="Q78" s="22">
        <f>'2. Simulation'!Q78-'1. Base'!Q78</f>
        <v>0</v>
      </c>
      <c r="R78" s="22">
        <f>'2. Simulation'!R78-'1. Base'!R78</f>
        <v>0</v>
      </c>
      <c r="S78" s="22">
        <f>'2. Simulation'!S78-'1. Base'!S78</f>
        <v>0</v>
      </c>
      <c r="T78" s="22">
        <f>'2. Simulation'!T78-'1. Base'!T78</f>
        <v>0</v>
      </c>
      <c r="U78" s="22">
        <f>'2. Simulation'!U78-'1. Base'!U78</f>
        <v>0</v>
      </c>
      <c r="V78" s="22">
        <f>'2. Simulation'!V78-'1. Base'!V78</f>
        <v>0</v>
      </c>
      <c r="W78" s="22">
        <f>'2. Simulation'!W78-'1. Base'!W78</f>
        <v>0</v>
      </c>
      <c r="X78" s="22">
        <f>'2. Simulation'!X78-'1. Base'!X78</f>
        <v>0</v>
      </c>
      <c r="Y78" s="22">
        <f>SUM(E78:X78)</f>
        <v>0</v>
      </c>
      <c r="Z78" s="42" t="s">
        <v>192</v>
      </c>
    </row>
    <row r="79" spans="2:26" ht="15" customHeight="1" outlineLevel="1" x14ac:dyDescent="0.3">
      <c r="B79" s="35" t="s">
        <v>186</v>
      </c>
      <c r="C79" s="9" t="s">
        <v>62</v>
      </c>
      <c r="D79" s="9" t="s">
        <v>64</v>
      </c>
      <c r="E79" s="22">
        <f>'2. Simulation'!E79-'1. Base'!E79</f>
        <v>0</v>
      </c>
      <c r="F79" s="22">
        <f>'2. Simulation'!F79-'1. Base'!F79</f>
        <v>0</v>
      </c>
      <c r="G79" s="22">
        <f>'2. Simulation'!G79-'1. Base'!G79</f>
        <v>0</v>
      </c>
      <c r="H79" s="22">
        <f>'2. Simulation'!H79-'1. Base'!H79</f>
        <v>0</v>
      </c>
      <c r="I79" s="22">
        <f>'2. Simulation'!I79-'1. Base'!I79</f>
        <v>0</v>
      </c>
      <c r="J79" s="22">
        <f>'2. Simulation'!J79-'1. Base'!J79</f>
        <v>0</v>
      </c>
      <c r="K79" s="22">
        <f>'2. Simulation'!K79-'1. Base'!K79</f>
        <v>0</v>
      </c>
      <c r="L79" s="22">
        <f>'2. Simulation'!L79-'1. Base'!L79</f>
        <v>0</v>
      </c>
      <c r="M79" s="22">
        <f>'2. Simulation'!M79-'1. Base'!M79</f>
        <v>0</v>
      </c>
      <c r="N79" s="22">
        <f>'2. Simulation'!N79-'1. Base'!N79</f>
        <v>0</v>
      </c>
      <c r="O79" s="22">
        <f>'2. Simulation'!O79-'1. Base'!O79</f>
        <v>0</v>
      </c>
      <c r="P79" s="22">
        <f>'2. Simulation'!P79-'1. Base'!P79</f>
        <v>0</v>
      </c>
      <c r="Q79" s="22">
        <f>'2. Simulation'!Q79-'1. Base'!Q79</f>
        <v>0</v>
      </c>
      <c r="R79" s="22">
        <f>'2. Simulation'!R79-'1. Base'!R79</f>
        <v>0</v>
      </c>
      <c r="S79" s="22">
        <f>'2. Simulation'!S79-'1. Base'!S79</f>
        <v>0</v>
      </c>
      <c r="T79" s="22">
        <f>'2. Simulation'!T79-'1. Base'!T79</f>
        <v>0</v>
      </c>
      <c r="U79" s="22">
        <f>'2. Simulation'!U79-'1. Base'!U79</f>
        <v>0</v>
      </c>
      <c r="V79" s="22">
        <f>'2. Simulation'!V79-'1. Base'!V79</f>
        <v>0</v>
      </c>
      <c r="W79" s="22">
        <f>'2. Simulation'!W79-'1. Base'!W79</f>
        <v>0</v>
      </c>
      <c r="X79" s="22">
        <f>'2. Simulation'!X79-'1. Base'!X79</f>
        <v>0</v>
      </c>
      <c r="Y79" s="22">
        <f t="shared" ref="Y79:Y144" si="14">SUM(E79:X79)</f>
        <v>0</v>
      </c>
      <c r="Z79" s="42" t="s">
        <v>193</v>
      </c>
    </row>
    <row r="80" spans="2:26" ht="15" customHeight="1" outlineLevel="1" x14ac:dyDescent="0.3">
      <c r="B80" s="35" t="s">
        <v>186</v>
      </c>
      <c r="C80" s="9" t="s">
        <v>62</v>
      </c>
      <c r="D80" s="9" t="s">
        <v>65</v>
      </c>
      <c r="E80" s="22">
        <f>'2. Simulation'!E80-'1. Base'!E80</f>
        <v>0</v>
      </c>
      <c r="F80" s="22">
        <f>'2. Simulation'!F80-'1. Base'!F80</f>
        <v>0</v>
      </c>
      <c r="G80" s="22">
        <f>'2. Simulation'!G80-'1. Base'!G80</f>
        <v>0</v>
      </c>
      <c r="H80" s="22">
        <f>'2. Simulation'!H80-'1. Base'!H80</f>
        <v>0</v>
      </c>
      <c r="I80" s="22">
        <f>'2. Simulation'!I80-'1. Base'!I80</f>
        <v>0</v>
      </c>
      <c r="J80" s="22">
        <f>'2. Simulation'!J80-'1. Base'!J80</f>
        <v>0</v>
      </c>
      <c r="K80" s="22">
        <f>'2. Simulation'!K80-'1. Base'!K80</f>
        <v>0</v>
      </c>
      <c r="L80" s="22">
        <f>'2. Simulation'!L80-'1. Base'!L80</f>
        <v>0</v>
      </c>
      <c r="M80" s="22">
        <f>'2. Simulation'!M80-'1. Base'!M80</f>
        <v>0</v>
      </c>
      <c r="N80" s="22">
        <f>'2. Simulation'!N80-'1. Base'!N80</f>
        <v>0</v>
      </c>
      <c r="O80" s="22">
        <f>'2. Simulation'!O80-'1. Base'!O80</f>
        <v>0</v>
      </c>
      <c r="P80" s="22">
        <f>'2. Simulation'!P80-'1. Base'!P80</f>
        <v>0</v>
      </c>
      <c r="Q80" s="22">
        <f>'2. Simulation'!Q80-'1. Base'!Q80</f>
        <v>0</v>
      </c>
      <c r="R80" s="22">
        <f>'2. Simulation'!R80-'1. Base'!R80</f>
        <v>0</v>
      </c>
      <c r="S80" s="22">
        <f>'2. Simulation'!S80-'1. Base'!S80</f>
        <v>0</v>
      </c>
      <c r="T80" s="22">
        <f>'2. Simulation'!T80-'1. Base'!T80</f>
        <v>0</v>
      </c>
      <c r="U80" s="22">
        <f>'2. Simulation'!U80-'1. Base'!U80</f>
        <v>0</v>
      </c>
      <c r="V80" s="22">
        <f>'2. Simulation'!V80-'1. Base'!V80</f>
        <v>0</v>
      </c>
      <c r="W80" s="22">
        <f>'2. Simulation'!W80-'1. Base'!W80</f>
        <v>0</v>
      </c>
      <c r="X80" s="22">
        <f>'2. Simulation'!X80-'1. Base'!X80</f>
        <v>0</v>
      </c>
      <c r="Y80" s="22">
        <f t="shared" si="14"/>
        <v>0</v>
      </c>
      <c r="Z80" s="42" t="s">
        <v>194</v>
      </c>
    </row>
    <row r="81" spans="2:26" ht="15" customHeight="1" outlineLevel="1" x14ac:dyDescent="0.3">
      <c r="B81" s="35" t="s">
        <v>186</v>
      </c>
      <c r="C81" s="9" t="s">
        <v>62</v>
      </c>
      <c r="D81" s="9" t="s">
        <v>66</v>
      </c>
      <c r="E81" s="22">
        <f>'2. Simulation'!E81-'1. Base'!E81</f>
        <v>0</v>
      </c>
      <c r="F81" s="22">
        <f>'2. Simulation'!F81-'1. Base'!F81</f>
        <v>0</v>
      </c>
      <c r="G81" s="22">
        <f>'2. Simulation'!G81-'1. Base'!G81</f>
        <v>0</v>
      </c>
      <c r="H81" s="22">
        <f>'2. Simulation'!H81-'1. Base'!H81</f>
        <v>0</v>
      </c>
      <c r="I81" s="22">
        <f>'2. Simulation'!I81-'1. Base'!I81</f>
        <v>0</v>
      </c>
      <c r="J81" s="22">
        <f>'2. Simulation'!J81-'1. Base'!J81</f>
        <v>0</v>
      </c>
      <c r="K81" s="22">
        <f>'2. Simulation'!K81-'1. Base'!K81</f>
        <v>0</v>
      </c>
      <c r="L81" s="22">
        <f>'2. Simulation'!L81-'1. Base'!L81</f>
        <v>0</v>
      </c>
      <c r="M81" s="22">
        <f>'2. Simulation'!M81-'1. Base'!M81</f>
        <v>0</v>
      </c>
      <c r="N81" s="22">
        <f>'2. Simulation'!N81-'1. Base'!N81</f>
        <v>0</v>
      </c>
      <c r="O81" s="22">
        <f>'2. Simulation'!O81-'1. Base'!O81</f>
        <v>0</v>
      </c>
      <c r="P81" s="22">
        <f>'2. Simulation'!P81-'1. Base'!P81</f>
        <v>0</v>
      </c>
      <c r="Q81" s="22">
        <f>'2. Simulation'!Q81-'1. Base'!Q81</f>
        <v>0</v>
      </c>
      <c r="R81" s="22">
        <f>'2. Simulation'!R81-'1. Base'!R81</f>
        <v>0</v>
      </c>
      <c r="S81" s="22">
        <f>'2. Simulation'!S81-'1. Base'!S81</f>
        <v>0</v>
      </c>
      <c r="T81" s="22">
        <f>'2. Simulation'!T81-'1. Base'!T81</f>
        <v>0</v>
      </c>
      <c r="U81" s="22">
        <f>'2. Simulation'!U81-'1. Base'!U81</f>
        <v>0</v>
      </c>
      <c r="V81" s="22">
        <f>'2. Simulation'!V81-'1. Base'!V81</f>
        <v>0</v>
      </c>
      <c r="W81" s="22">
        <f>'2. Simulation'!W81-'1. Base'!W81</f>
        <v>0</v>
      </c>
      <c r="X81" s="22">
        <f>'2. Simulation'!X81-'1. Base'!X81</f>
        <v>0</v>
      </c>
      <c r="Y81" s="22">
        <f t="shared" si="14"/>
        <v>0</v>
      </c>
      <c r="Z81" s="42" t="s">
        <v>194</v>
      </c>
    </row>
    <row r="82" spans="2:26" ht="15" customHeight="1" outlineLevel="1" x14ac:dyDescent="0.3">
      <c r="B82" s="35" t="s">
        <v>186</v>
      </c>
      <c r="C82" s="9" t="s">
        <v>67</v>
      </c>
      <c r="D82" s="9" t="s">
        <v>152</v>
      </c>
      <c r="E82" s="22">
        <f>'2. Simulation'!E82-'1. Base'!E82</f>
        <v>-642642.15659099526</v>
      </c>
      <c r="F82" s="22">
        <f>'2. Simulation'!F82-'1. Base'!F82</f>
        <v>0</v>
      </c>
      <c r="G82" s="22">
        <f>'2. Simulation'!G82-'1. Base'!G82</f>
        <v>0</v>
      </c>
      <c r="H82" s="22">
        <f>'2. Simulation'!H82-'1. Base'!H82</f>
        <v>0</v>
      </c>
      <c r="I82" s="22">
        <f>'2. Simulation'!I82-'1. Base'!I82</f>
        <v>0</v>
      </c>
      <c r="J82" s="22">
        <f>'2. Simulation'!J82-'1. Base'!J82</f>
        <v>0</v>
      </c>
      <c r="K82" s="22">
        <f>'2. Simulation'!K82-'1. Base'!K82</f>
        <v>0</v>
      </c>
      <c r="L82" s="22">
        <f>'2. Simulation'!L82-'1. Base'!L82</f>
        <v>0</v>
      </c>
      <c r="M82" s="22">
        <f>'2. Simulation'!M82-'1. Base'!M82</f>
        <v>0</v>
      </c>
      <c r="N82" s="22">
        <f>'2. Simulation'!N82-'1. Base'!N82</f>
        <v>0</v>
      </c>
      <c r="O82" s="22">
        <f>'2. Simulation'!O82-'1. Base'!O82</f>
        <v>0</v>
      </c>
      <c r="P82" s="22">
        <f>'2. Simulation'!P82-'1. Base'!P82</f>
        <v>0</v>
      </c>
      <c r="Q82" s="22">
        <f>'2. Simulation'!Q82-'1. Base'!Q82</f>
        <v>0</v>
      </c>
      <c r="R82" s="22">
        <f>'2. Simulation'!R82-'1. Base'!R82</f>
        <v>0</v>
      </c>
      <c r="S82" s="22">
        <f>'2. Simulation'!S82-'1. Base'!S82</f>
        <v>0</v>
      </c>
      <c r="T82" s="22">
        <f>'2. Simulation'!T82-'1. Base'!T82</f>
        <v>0</v>
      </c>
      <c r="U82" s="22">
        <f>'2. Simulation'!U82-'1. Base'!U82</f>
        <v>0</v>
      </c>
      <c r="V82" s="22">
        <f>'2. Simulation'!V82-'1. Base'!V82</f>
        <v>0</v>
      </c>
      <c r="W82" s="22">
        <f>'2. Simulation'!W82-'1. Base'!W82</f>
        <v>0</v>
      </c>
      <c r="X82" s="22">
        <f>'2. Simulation'!X82-'1. Base'!X82</f>
        <v>0</v>
      </c>
      <c r="Y82" s="22">
        <f t="shared" si="14"/>
        <v>-642642.15659099526</v>
      </c>
      <c r="Z82" s="42" t="s">
        <v>192</v>
      </c>
    </row>
    <row r="83" spans="2:26" ht="15" customHeight="1" outlineLevel="1" x14ac:dyDescent="0.3">
      <c r="B83" s="35" t="s">
        <v>186</v>
      </c>
      <c r="C83" s="9" t="s">
        <v>67</v>
      </c>
      <c r="D83" s="9" t="s">
        <v>153</v>
      </c>
      <c r="E83" s="22">
        <f>'2. Simulation'!E83-'1. Base'!E83</f>
        <v>-83441.60935660098</v>
      </c>
      <c r="F83" s="22">
        <f>'2. Simulation'!F83-'1. Base'!F83</f>
        <v>0</v>
      </c>
      <c r="G83" s="22">
        <f>'2. Simulation'!G83-'1. Base'!G83</f>
        <v>0</v>
      </c>
      <c r="H83" s="22">
        <f>'2. Simulation'!H83-'1. Base'!H83</f>
        <v>0</v>
      </c>
      <c r="I83" s="22">
        <f>'2. Simulation'!I83-'1. Base'!I83</f>
        <v>0</v>
      </c>
      <c r="J83" s="22">
        <f>'2. Simulation'!J83-'1. Base'!J83</f>
        <v>0</v>
      </c>
      <c r="K83" s="22">
        <f>'2. Simulation'!K83-'1. Base'!K83</f>
        <v>0</v>
      </c>
      <c r="L83" s="22">
        <f>'2. Simulation'!L83-'1. Base'!L83</f>
        <v>0</v>
      </c>
      <c r="M83" s="22">
        <f>'2. Simulation'!M83-'1. Base'!M83</f>
        <v>0</v>
      </c>
      <c r="N83" s="22">
        <f>'2. Simulation'!N83-'1. Base'!N83</f>
        <v>0</v>
      </c>
      <c r="O83" s="22">
        <f>'2. Simulation'!O83-'1. Base'!O83</f>
        <v>0</v>
      </c>
      <c r="P83" s="22">
        <f>'2. Simulation'!P83-'1. Base'!P83</f>
        <v>0</v>
      </c>
      <c r="Q83" s="22">
        <f>'2. Simulation'!Q83-'1. Base'!Q83</f>
        <v>0</v>
      </c>
      <c r="R83" s="22">
        <f>'2. Simulation'!R83-'1. Base'!R83</f>
        <v>0</v>
      </c>
      <c r="S83" s="22">
        <f>'2. Simulation'!S83-'1. Base'!S83</f>
        <v>0</v>
      </c>
      <c r="T83" s="22">
        <f>'2. Simulation'!T83-'1. Base'!T83</f>
        <v>0</v>
      </c>
      <c r="U83" s="22">
        <f>'2. Simulation'!U83-'1. Base'!U83</f>
        <v>0</v>
      </c>
      <c r="V83" s="22">
        <f>'2. Simulation'!V83-'1. Base'!V83</f>
        <v>0</v>
      </c>
      <c r="W83" s="22">
        <f>'2. Simulation'!W83-'1. Base'!W83</f>
        <v>0</v>
      </c>
      <c r="X83" s="22">
        <f>'2. Simulation'!X83-'1. Base'!X83</f>
        <v>0</v>
      </c>
      <c r="Y83" s="22">
        <f t="shared" si="14"/>
        <v>-83441.60935660098</v>
      </c>
      <c r="Z83" s="42" t="s">
        <v>193</v>
      </c>
    </row>
    <row r="84" spans="2:26" ht="15" customHeight="1" outlineLevel="1" x14ac:dyDescent="0.3">
      <c r="B84" s="35" t="s">
        <v>186</v>
      </c>
      <c r="C84" s="9" t="s">
        <v>67</v>
      </c>
      <c r="D84" s="9" t="s">
        <v>154</v>
      </c>
      <c r="E84" s="22">
        <f>'2. Simulation'!E84-'1. Base'!E84</f>
        <v>-172619.12298292323</v>
      </c>
      <c r="F84" s="22">
        <f>'2. Simulation'!F84-'1. Base'!F84</f>
        <v>0</v>
      </c>
      <c r="G84" s="22">
        <f>'2. Simulation'!G84-'1. Base'!G84</f>
        <v>0</v>
      </c>
      <c r="H84" s="22">
        <f>'2. Simulation'!H84-'1. Base'!H84</f>
        <v>0</v>
      </c>
      <c r="I84" s="22">
        <f>'2. Simulation'!I84-'1. Base'!I84</f>
        <v>0</v>
      </c>
      <c r="J84" s="22">
        <f>'2. Simulation'!J84-'1. Base'!J84</f>
        <v>0</v>
      </c>
      <c r="K84" s="22">
        <f>'2. Simulation'!K84-'1. Base'!K84</f>
        <v>0</v>
      </c>
      <c r="L84" s="22">
        <f>'2. Simulation'!L84-'1. Base'!L84</f>
        <v>0</v>
      </c>
      <c r="M84" s="22">
        <f>'2. Simulation'!M84-'1. Base'!M84</f>
        <v>0</v>
      </c>
      <c r="N84" s="22">
        <f>'2. Simulation'!N84-'1. Base'!N84</f>
        <v>0</v>
      </c>
      <c r="O84" s="22">
        <f>'2. Simulation'!O84-'1. Base'!O84</f>
        <v>0</v>
      </c>
      <c r="P84" s="22">
        <f>'2. Simulation'!P84-'1. Base'!P84</f>
        <v>0</v>
      </c>
      <c r="Q84" s="22">
        <f>'2. Simulation'!Q84-'1. Base'!Q84</f>
        <v>0</v>
      </c>
      <c r="R84" s="22">
        <f>'2. Simulation'!R84-'1. Base'!R84</f>
        <v>0</v>
      </c>
      <c r="S84" s="22">
        <f>'2. Simulation'!S84-'1. Base'!S84</f>
        <v>0</v>
      </c>
      <c r="T84" s="22">
        <f>'2. Simulation'!T84-'1. Base'!T84</f>
        <v>0</v>
      </c>
      <c r="U84" s="22">
        <f>'2. Simulation'!U84-'1. Base'!U84</f>
        <v>0</v>
      </c>
      <c r="V84" s="22">
        <f>'2. Simulation'!V84-'1. Base'!V84</f>
        <v>0</v>
      </c>
      <c r="W84" s="22">
        <f>'2. Simulation'!W84-'1. Base'!W84</f>
        <v>0</v>
      </c>
      <c r="X84" s="22">
        <f>'2. Simulation'!X84-'1. Base'!X84</f>
        <v>0</v>
      </c>
      <c r="Y84" s="22">
        <f t="shared" si="14"/>
        <v>-172619.12298292323</v>
      </c>
      <c r="Z84" s="42" t="s">
        <v>194</v>
      </c>
    </row>
    <row r="85" spans="2:26" ht="15" customHeight="1" outlineLevel="1" x14ac:dyDescent="0.3">
      <c r="B85" s="35" t="s">
        <v>186</v>
      </c>
      <c r="C85" s="9" t="s">
        <v>67</v>
      </c>
      <c r="D85" s="9" t="s">
        <v>155</v>
      </c>
      <c r="E85" s="22">
        <f>'2. Simulation'!E85-'1. Base'!E85</f>
        <v>0</v>
      </c>
      <c r="F85" s="22">
        <f>'2. Simulation'!F85-'1. Base'!F85</f>
        <v>0</v>
      </c>
      <c r="G85" s="22">
        <f>'2. Simulation'!G85-'1. Base'!G85</f>
        <v>0</v>
      </c>
      <c r="H85" s="22">
        <f>'2. Simulation'!H85-'1. Base'!H85</f>
        <v>0</v>
      </c>
      <c r="I85" s="22">
        <f>'2. Simulation'!I85-'1. Base'!I85</f>
        <v>0</v>
      </c>
      <c r="J85" s="22">
        <f>'2. Simulation'!J85-'1. Base'!J85</f>
        <v>0</v>
      </c>
      <c r="K85" s="22">
        <f>'2. Simulation'!K85-'1. Base'!K85</f>
        <v>0</v>
      </c>
      <c r="L85" s="22">
        <f>'2. Simulation'!L85-'1. Base'!L85</f>
        <v>0</v>
      </c>
      <c r="M85" s="22">
        <f>'2. Simulation'!M85-'1. Base'!M85</f>
        <v>0</v>
      </c>
      <c r="N85" s="22">
        <f>'2. Simulation'!N85-'1. Base'!N85</f>
        <v>0</v>
      </c>
      <c r="O85" s="22">
        <f>'2. Simulation'!O85-'1. Base'!O85</f>
        <v>0</v>
      </c>
      <c r="P85" s="22">
        <f>'2. Simulation'!P85-'1. Base'!P85</f>
        <v>0</v>
      </c>
      <c r="Q85" s="22">
        <f>'2. Simulation'!Q85-'1. Base'!Q85</f>
        <v>0</v>
      </c>
      <c r="R85" s="22">
        <f>'2. Simulation'!R85-'1. Base'!R85</f>
        <v>0</v>
      </c>
      <c r="S85" s="22">
        <f>'2. Simulation'!S85-'1. Base'!S85</f>
        <v>0</v>
      </c>
      <c r="T85" s="22">
        <f>'2. Simulation'!T85-'1. Base'!T85</f>
        <v>0</v>
      </c>
      <c r="U85" s="22">
        <f>'2. Simulation'!U85-'1. Base'!U85</f>
        <v>0</v>
      </c>
      <c r="V85" s="22">
        <f>'2. Simulation'!V85-'1. Base'!V85</f>
        <v>0</v>
      </c>
      <c r="W85" s="22">
        <f>'2. Simulation'!W85-'1. Base'!W85</f>
        <v>0</v>
      </c>
      <c r="X85" s="22">
        <f>'2. Simulation'!X85-'1. Base'!X85</f>
        <v>0</v>
      </c>
      <c r="Y85" s="22">
        <f t="shared" si="14"/>
        <v>0</v>
      </c>
      <c r="Z85" s="42" t="s">
        <v>192</v>
      </c>
    </row>
    <row r="86" spans="2:26" ht="15" customHeight="1" outlineLevel="1" x14ac:dyDescent="0.3">
      <c r="B86" s="35" t="s">
        <v>186</v>
      </c>
      <c r="C86" s="9" t="s">
        <v>67</v>
      </c>
      <c r="D86" s="9" t="s">
        <v>156</v>
      </c>
      <c r="E86" s="22">
        <f>'2. Simulation'!E86-'1. Base'!E86</f>
        <v>0</v>
      </c>
      <c r="F86" s="22">
        <f>'2. Simulation'!F86-'1. Base'!F86</f>
        <v>0</v>
      </c>
      <c r="G86" s="22">
        <f>'2. Simulation'!G86-'1. Base'!G86</f>
        <v>0</v>
      </c>
      <c r="H86" s="22">
        <f>'2. Simulation'!H86-'1. Base'!H86</f>
        <v>0</v>
      </c>
      <c r="I86" s="22">
        <f>'2. Simulation'!I86-'1. Base'!I86</f>
        <v>0</v>
      </c>
      <c r="J86" s="22">
        <f>'2. Simulation'!J86-'1. Base'!J86</f>
        <v>0</v>
      </c>
      <c r="K86" s="22">
        <f>'2. Simulation'!K86-'1. Base'!K86</f>
        <v>0</v>
      </c>
      <c r="L86" s="22">
        <f>'2. Simulation'!L86-'1. Base'!L86</f>
        <v>0</v>
      </c>
      <c r="M86" s="22">
        <f>'2. Simulation'!M86-'1. Base'!M86</f>
        <v>0</v>
      </c>
      <c r="N86" s="22">
        <f>'2. Simulation'!N86-'1. Base'!N86</f>
        <v>0</v>
      </c>
      <c r="O86" s="22">
        <f>'2. Simulation'!O86-'1. Base'!O86</f>
        <v>0</v>
      </c>
      <c r="P86" s="22">
        <f>'2. Simulation'!P86-'1. Base'!P86</f>
        <v>0</v>
      </c>
      <c r="Q86" s="22">
        <f>'2. Simulation'!Q86-'1. Base'!Q86</f>
        <v>0</v>
      </c>
      <c r="R86" s="22">
        <f>'2. Simulation'!R86-'1. Base'!R86</f>
        <v>0</v>
      </c>
      <c r="S86" s="22">
        <f>'2. Simulation'!S86-'1. Base'!S86</f>
        <v>0</v>
      </c>
      <c r="T86" s="22">
        <f>'2. Simulation'!T86-'1. Base'!T86</f>
        <v>0</v>
      </c>
      <c r="U86" s="22">
        <f>'2. Simulation'!U86-'1. Base'!U86</f>
        <v>0</v>
      </c>
      <c r="V86" s="22">
        <f>'2. Simulation'!V86-'1. Base'!V86</f>
        <v>0</v>
      </c>
      <c r="W86" s="22">
        <f>'2. Simulation'!W86-'1. Base'!W86</f>
        <v>0</v>
      </c>
      <c r="X86" s="22">
        <f>'2. Simulation'!X86-'1. Base'!X86</f>
        <v>0</v>
      </c>
      <c r="Y86" s="22">
        <f t="shared" si="14"/>
        <v>0</v>
      </c>
      <c r="Z86" s="42" t="s">
        <v>193</v>
      </c>
    </row>
    <row r="87" spans="2:26" ht="15" customHeight="1" outlineLevel="1" x14ac:dyDescent="0.3">
      <c r="B87" s="35" t="s">
        <v>186</v>
      </c>
      <c r="C87" s="9" t="s">
        <v>67</v>
      </c>
      <c r="D87" s="9" t="s">
        <v>157</v>
      </c>
      <c r="E87" s="22">
        <f>'2. Simulation'!E87-'1. Base'!E87</f>
        <v>0</v>
      </c>
      <c r="F87" s="22">
        <f>'2. Simulation'!F87-'1. Base'!F87</f>
        <v>0</v>
      </c>
      <c r="G87" s="22">
        <f>'2. Simulation'!G87-'1. Base'!G87</f>
        <v>0</v>
      </c>
      <c r="H87" s="22">
        <f>'2. Simulation'!H87-'1. Base'!H87</f>
        <v>0</v>
      </c>
      <c r="I87" s="22">
        <f>'2. Simulation'!I87-'1. Base'!I87</f>
        <v>0</v>
      </c>
      <c r="J87" s="22">
        <f>'2. Simulation'!J87-'1. Base'!J87</f>
        <v>0</v>
      </c>
      <c r="K87" s="22">
        <f>'2. Simulation'!K87-'1. Base'!K87</f>
        <v>0</v>
      </c>
      <c r="L87" s="22">
        <f>'2. Simulation'!L87-'1. Base'!L87</f>
        <v>0</v>
      </c>
      <c r="M87" s="22">
        <f>'2. Simulation'!M87-'1. Base'!M87</f>
        <v>0</v>
      </c>
      <c r="N87" s="22">
        <f>'2. Simulation'!N87-'1. Base'!N87</f>
        <v>0</v>
      </c>
      <c r="O87" s="22">
        <f>'2. Simulation'!O87-'1. Base'!O87</f>
        <v>0</v>
      </c>
      <c r="P87" s="22">
        <f>'2. Simulation'!P87-'1. Base'!P87</f>
        <v>0</v>
      </c>
      <c r="Q87" s="22">
        <f>'2. Simulation'!Q87-'1. Base'!Q87</f>
        <v>0</v>
      </c>
      <c r="R87" s="22">
        <f>'2. Simulation'!R87-'1. Base'!R87</f>
        <v>0</v>
      </c>
      <c r="S87" s="22">
        <f>'2. Simulation'!S87-'1. Base'!S87</f>
        <v>0</v>
      </c>
      <c r="T87" s="22">
        <f>'2. Simulation'!T87-'1. Base'!T87</f>
        <v>0</v>
      </c>
      <c r="U87" s="22">
        <f>'2. Simulation'!U87-'1. Base'!U87</f>
        <v>0</v>
      </c>
      <c r="V87" s="22">
        <f>'2. Simulation'!V87-'1. Base'!V87</f>
        <v>0</v>
      </c>
      <c r="W87" s="22">
        <f>'2. Simulation'!W87-'1. Base'!W87</f>
        <v>0</v>
      </c>
      <c r="X87" s="22">
        <f>'2. Simulation'!X87-'1. Base'!X87</f>
        <v>0</v>
      </c>
      <c r="Y87" s="22">
        <f t="shared" si="14"/>
        <v>0</v>
      </c>
      <c r="Z87" s="42" t="s">
        <v>194</v>
      </c>
    </row>
    <row r="88" spans="2:26" ht="15" customHeight="1" outlineLevel="1" x14ac:dyDescent="0.3">
      <c r="B88" s="35" t="s">
        <v>186</v>
      </c>
      <c r="C88" s="9" t="s">
        <v>67</v>
      </c>
      <c r="D88" s="9" t="s">
        <v>154</v>
      </c>
      <c r="E88" s="22">
        <f>'2. Simulation'!E88-'1. Base'!E88</f>
        <v>152310.9908672852</v>
      </c>
      <c r="F88" s="22">
        <f>'2. Simulation'!F88-'1. Base'!F88</f>
        <v>0</v>
      </c>
      <c r="G88" s="22">
        <f>'2. Simulation'!G88-'1. Base'!G88</f>
        <v>0</v>
      </c>
      <c r="H88" s="22">
        <f>'2. Simulation'!H88-'1. Base'!H88</f>
        <v>0</v>
      </c>
      <c r="I88" s="22">
        <f>'2. Simulation'!I88-'1. Base'!I88</f>
        <v>0</v>
      </c>
      <c r="J88" s="22">
        <f>'2. Simulation'!J88-'1. Base'!J88</f>
        <v>0</v>
      </c>
      <c r="K88" s="22">
        <f>'2. Simulation'!K88-'1. Base'!K88</f>
        <v>0</v>
      </c>
      <c r="L88" s="22">
        <f>'2. Simulation'!L88-'1. Base'!L88</f>
        <v>0</v>
      </c>
      <c r="M88" s="22">
        <f>'2. Simulation'!M88-'1. Base'!M88</f>
        <v>0</v>
      </c>
      <c r="N88" s="22">
        <f>'2. Simulation'!N88-'1. Base'!N88</f>
        <v>0</v>
      </c>
      <c r="O88" s="22">
        <f>'2. Simulation'!O88-'1. Base'!O88</f>
        <v>0</v>
      </c>
      <c r="P88" s="22">
        <f>'2. Simulation'!P88-'1. Base'!P88</f>
        <v>0</v>
      </c>
      <c r="Q88" s="22">
        <f>'2. Simulation'!Q88-'1. Base'!Q88</f>
        <v>0</v>
      </c>
      <c r="R88" s="22">
        <f>'2. Simulation'!R88-'1. Base'!R88</f>
        <v>0</v>
      </c>
      <c r="S88" s="22">
        <f>'2. Simulation'!S88-'1. Base'!S88</f>
        <v>0</v>
      </c>
      <c r="T88" s="22">
        <f>'2. Simulation'!T88-'1. Base'!T88</f>
        <v>0</v>
      </c>
      <c r="U88" s="22">
        <f>'2. Simulation'!U88-'1. Base'!U88</f>
        <v>0</v>
      </c>
      <c r="V88" s="22">
        <f>'2. Simulation'!V88-'1. Base'!V88</f>
        <v>0</v>
      </c>
      <c r="W88" s="22">
        <f>'2. Simulation'!W88-'1. Base'!W88</f>
        <v>0</v>
      </c>
      <c r="X88" s="22">
        <f>'2. Simulation'!X88-'1. Base'!X88</f>
        <v>0</v>
      </c>
      <c r="Y88" s="22">
        <f t="shared" si="14"/>
        <v>152310.9908672852</v>
      </c>
      <c r="Z88" s="42" t="s">
        <v>194</v>
      </c>
    </row>
    <row r="89" spans="2:26" ht="15" customHeight="1" outlineLevel="1" x14ac:dyDescent="0.3">
      <c r="B89" s="35" t="s">
        <v>186</v>
      </c>
      <c r="C89" s="9" t="s">
        <v>68</v>
      </c>
      <c r="D89" s="9" t="s">
        <v>69</v>
      </c>
      <c r="E89" s="22">
        <f>'2. Simulation'!E89-'1. Base'!E89</f>
        <v>0</v>
      </c>
      <c r="F89" s="22">
        <f>'2. Simulation'!F89-'1. Base'!F89</f>
        <v>0</v>
      </c>
      <c r="G89" s="22">
        <f>'2. Simulation'!G89-'1. Base'!G89</f>
        <v>0</v>
      </c>
      <c r="H89" s="22">
        <f>'2. Simulation'!H89-'1. Base'!H89</f>
        <v>0</v>
      </c>
      <c r="I89" s="22">
        <f>'2. Simulation'!I89-'1. Base'!I89</f>
        <v>0</v>
      </c>
      <c r="J89" s="22">
        <f>'2. Simulation'!J89-'1. Base'!J89</f>
        <v>0</v>
      </c>
      <c r="K89" s="22">
        <f>'2. Simulation'!K89-'1. Base'!K89</f>
        <v>0</v>
      </c>
      <c r="L89" s="22">
        <f>'2. Simulation'!L89-'1. Base'!L89</f>
        <v>0</v>
      </c>
      <c r="M89" s="22">
        <f>'2. Simulation'!M89-'1. Base'!M89</f>
        <v>0</v>
      </c>
      <c r="N89" s="22">
        <f>'2. Simulation'!N89-'1. Base'!N89</f>
        <v>0</v>
      </c>
      <c r="O89" s="22">
        <f>'2. Simulation'!O89-'1. Base'!O89</f>
        <v>0</v>
      </c>
      <c r="P89" s="22">
        <f>'2. Simulation'!P89-'1. Base'!P89</f>
        <v>0</v>
      </c>
      <c r="Q89" s="22">
        <f>'2. Simulation'!Q89-'1. Base'!Q89</f>
        <v>0</v>
      </c>
      <c r="R89" s="22">
        <f>'2. Simulation'!R89-'1. Base'!R89</f>
        <v>0</v>
      </c>
      <c r="S89" s="22">
        <f>'2. Simulation'!S89-'1. Base'!S89</f>
        <v>0</v>
      </c>
      <c r="T89" s="22">
        <f>'2. Simulation'!T89-'1. Base'!T89</f>
        <v>0</v>
      </c>
      <c r="U89" s="22">
        <f>'2. Simulation'!U89-'1. Base'!U89</f>
        <v>0</v>
      </c>
      <c r="V89" s="22">
        <f>'2. Simulation'!V89-'1. Base'!V89</f>
        <v>0</v>
      </c>
      <c r="W89" s="22">
        <f>'2. Simulation'!W89-'1. Base'!W89</f>
        <v>0</v>
      </c>
      <c r="X89" s="22">
        <f>'2. Simulation'!X89-'1. Base'!X89</f>
        <v>0</v>
      </c>
      <c r="Y89" s="22">
        <f t="shared" si="14"/>
        <v>0</v>
      </c>
      <c r="Z89" s="42" t="s">
        <v>192</v>
      </c>
    </row>
    <row r="90" spans="2:26" ht="15" customHeight="1" outlineLevel="1" x14ac:dyDescent="0.3">
      <c r="B90" s="35" t="s">
        <v>186</v>
      </c>
      <c r="C90" s="9" t="s">
        <v>68</v>
      </c>
      <c r="D90" s="9" t="s">
        <v>70</v>
      </c>
      <c r="E90" s="22">
        <f>'2. Simulation'!E90-'1. Base'!E90</f>
        <v>0</v>
      </c>
      <c r="F90" s="22">
        <f>'2. Simulation'!F90-'1. Base'!F90</f>
        <v>0</v>
      </c>
      <c r="G90" s="22">
        <f>'2. Simulation'!G90-'1. Base'!G90</f>
        <v>0</v>
      </c>
      <c r="H90" s="22">
        <f>'2. Simulation'!H90-'1. Base'!H90</f>
        <v>0</v>
      </c>
      <c r="I90" s="22">
        <f>'2. Simulation'!I90-'1. Base'!I90</f>
        <v>0</v>
      </c>
      <c r="J90" s="22">
        <f>'2. Simulation'!J90-'1. Base'!J90</f>
        <v>0</v>
      </c>
      <c r="K90" s="22">
        <f>'2. Simulation'!K90-'1. Base'!K90</f>
        <v>0</v>
      </c>
      <c r="L90" s="22">
        <f>'2. Simulation'!L90-'1. Base'!L90</f>
        <v>0</v>
      </c>
      <c r="M90" s="22">
        <f>'2. Simulation'!M90-'1. Base'!M90</f>
        <v>0</v>
      </c>
      <c r="N90" s="22">
        <f>'2. Simulation'!N90-'1. Base'!N90</f>
        <v>0</v>
      </c>
      <c r="O90" s="22">
        <f>'2. Simulation'!O90-'1. Base'!O90</f>
        <v>0</v>
      </c>
      <c r="P90" s="22">
        <f>'2. Simulation'!P90-'1. Base'!P90</f>
        <v>0</v>
      </c>
      <c r="Q90" s="22">
        <f>'2. Simulation'!Q90-'1. Base'!Q90</f>
        <v>0</v>
      </c>
      <c r="R90" s="22">
        <f>'2. Simulation'!R90-'1. Base'!R90</f>
        <v>0</v>
      </c>
      <c r="S90" s="22">
        <f>'2. Simulation'!S90-'1. Base'!S90</f>
        <v>0</v>
      </c>
      <c r="T90" s="22">
        <f>'2. Simulation'!T90-'1. Base'!T90</f>
        <v>0</v>
      </c>
      <c r="U90" s="22">
        <f>'2. Simulation'!U90-'1. Base'!U90</f>
        <v>0</v>
      </c>
      <c r="V90" s="22">
        <f>'2. Simulation'!V90-'1. Base'!V90</f>
        <v>0</v>
      </c>
      <c r="W90" s="22">
        <f>'2. Simulation'!W90-'1. Base'!W90</f>
        <v>0</v>
      </c>
      <c r="X90" s="22">
        <f>'2. Simulation'!X90-'1. Base'!X90</f>
        <v>0</v>
      </c>
      <c r="Y90" s="22">
        <f t="shared" si="14"/>
        <v>0</v>
      </c>
      <c r="Z90" s="42" t="s">
        <v>193</v>
      </c>
    </row>
    <row r="91" spans="2:26" ht="15" customHeight="1" outlineLevel="1" x14ac:dyDescent="0.3">
      <c r="B91" s="35" t="s">
        <v>186</v>
      </c>
      <c r="C91" s="9" t="s">
        <v>68</v>
      </c>
      <c r="D91" s="9" t="s">
        <v>71</v>
      </c>
      <c r="E91" s="22">
        <f>'2. Simulation'!E91-'1. Base'!E91</f>
        <v>0</v>
      </c>
      <c r="F91" s="22">
        <f>'2. Simulation'!F91-'1. Base'!F91</f>
        <v>0</v>
      </c>
      <c r="G91" s="22">
        <f>'2. Simulation'!G91-'1. Base'!G91</f>
        <v>0</v>
      </c>
      <c r="H91" s="22">
        <f>'2. Simulation'!H91-'1. Base'!H91</f>
        <v>0</v>
      </c>
      <c r="I91" s="22">
        <f>'2. Simulation'!I91-'1. Base'!I91</f>
        <v>0</v>
      </c>
      <c r="J91" s="22">
        <f>'2. Simulation'!J91-'1. Base'!J91</f>
        <v>0</v>
      </c>
      <c r="K91" s="22">
        <f>'2. Simulation'!K91-'1. Base'!K91</f>
        <v>0</v>
      </c>
      <c r="L91" s="22">
        <f>'2. Simulation'!L91-'1. Base'!L91</f>
        <v>0</v>
      </c>
      <c r="M91" s="22">
        <f>'2. Simulation'!M91-'1. Base'!M91</f>
        <v>0</v>
      </c>
      <c r="N91" s="22">
        <f>'2. Simulation'!N91-'1. Base'!N91</f>
        <v>0</v>
      </c>
      <c r="O91" s="22">
        <f>'2. Simulation'!O91-'1. Base'!O91</f>
        <v>0</v>
      </c>
      <c r="P91" s="22">
        <f>'2. Simulation'!P91-'1. Base'!P91</f>
        <v>0</v>
      </c>
      <c r="Q91" s="22">
        <f>'2. Simulation'!Q91-'1. Base'!Q91</f>
        <v>0</v>
      </c>
      <c r="R91" s="22">
        <f>'2. Simulation'!R91-'1. Base'!R91</f>
        <v>0</v>
      </c>
      <c r="S91" s="22">
        <f>'2. Simulation'!S91-'1. Base'!S91</f>
        <v>0</v>
      </c>
      <c r="T91" s="22">
        <f>'2. Simulation'!T91-'1. Base'!T91</f>
        <v>0</v>
      </c>
      <c r="U91" s="22">
        <f>'2. Simulation'!U91-'1. Base'!U91</f>
        <v>0</v>
      </c>
      <c r="V91" s="22">
        <f>'2. Simulation'!V91-'1. Base'!V91</f>
        <v>0</v>
      </c>
      <c r="W91" s="22">
        <f>'2. Simulation'!W91-'1. Base'!W91</f>
        <v>0</v>
      </c>
      <c r="X91" s="22">
        <f>'2. Simulation'!X91-'1. Base'!X91</f>
        <v>0</v>
      </c>
      <c r="Y91" s="22">
        <f t="shared" si="14"/>
        <v>0</v>
      </c>
      <c r="Z91" s="42" t="s">
        <v>194</v>
      </c>
    </row>
    <row r="92" spans="2:26" ht="15" customHeight="1" outlineLevel="1" x14ac:dyDescent="0.3">
      <c r="B92" s="35" t="s">
        <v>186</v>
      </c>
      <c r="C92" s="9" t="s">
        <v>72</v>
      </c>
      <c r="D92" s="9" t="s">
        <v>73</v>
      </c>
      <c r="E92" s="22">
        <f>'2. Simulation'!E92-'1. Base'!E92</f>
        <v>0</v>
      </c>
      <c r="F92" s="22">
        <f>'2. Simulation'!F92-'1. Base'!F92</f>
        <v>0</v>
      </c>
      <c r="G92" s="22">
        <f>'2. Simulation'!G92-'1. Base'!G92</f>
        <v>0</v>
      </c>
      <c r="H92" s="22">
        <f>'2. Simulation'!H92-'1. Base'!H92</f>
        <v>0</v>
      </c>
      <c r="I92" s="22">
        <f>'2. Simulation'!I92-'1. Base'!I92</f>
        <v>0</v>
      </c>
      <c r="J92" s="22">
        <f>'2. Simulation'!J92-'1. Base'!J92</f>
        <v>0</v>
      </c>
      <c r="K92" s="22">
        <f>'2. Simulation'!K92-'1. Base'!K92</f>
        <v>0</v>
      </c>
      <c r="L92" s="22">
        <f>'2. Simulation'!L92-'1. Base'!L92</f>
        <v>0</v>
      </c>
      <c r="M92" s="22">
        <f>'2. Simulation'!M92-'1. Base'!M92</f>
        <v>0</v>
      </c>
      <c r="N92" s="22">
        <f>'2. Simulation'!N92-'1. Base'!N92</f>
        <v>0</v>
      </c>
      <c r="O92" s="22">
        <f>'2. Simulation'!O92-'1. Base'!O92</f>
        <v>0</v>
      </c>
      <c r="P92" s="22">
        <f>'2. Simulation'!P92-'1. Base'!P92</f>
        <v>0</v>
      </c>
      <c r="Q92" s="22">
        <f>'2. Simulation'!Q92-'1. Base'!Q92</f>
        <v>0</v>
      </c>
      <c r="R92" s="22">
        <f>'2. Simulation'!R92-'1. Base'!R92</f>
        <v>0</v>
      </c>
      <c r="S92" s="22">
        <f>'2. Simulation'!S92-'1. Base'!S92</f>
        <v>0</v>
      </c>
      <c r="T92" s="22">
        <f>'2. Simulation'!T92-'1. Base'!T92</f>
        <v>0</v>
      </c>
      <c r="U92" s="22">
        <f>'2. Simulation'!U92-'1. Base'!U92</f>
        <v>0</v>
      </c>
      <c r="V92" s="22">
        <f>'2. Simulation'!V92-'1. Base'!V92</f>
        <v>0</v>
      </c>
      <c r="W92" s="22">
        <f>'2. Simulation'!W92-'1. Base'!W92</f>
        <v>0</v>
      </c>
      <c r="X92" s="22">
        <f>'2. Simulation'!X92-'1. Base'!X92</f>
        <v>0</v>
      </c>
      <c r="Y92" s="22">
        <f t="shared" si="14"/>
        <v>0</v>
      </c>
      <c r="Z92" s="42" t="s">
        <v>192</v>
      </c>
    </row>
    <row r="93" spans="2:26" ht="15" customHeight="1" outlineLevel="1" x14ac:dyDescent="0.3">
      <c r="B93" s="35" t="s">
        <v>186</v>
      </c>
      <c r="C93" s="9" t="s">
        <v>72</v>
      </c>
      <c r="D93" s="9" t="s">
        <v>74</v>
      </c>
      <c r="E93" s="22">
        <f>'2. Simulation'!E93-'1. Base'!E93</f>
        <v>0</v>
      </c>
      <c r="F93" s="22">
        <f>'2. Simulation'!F93-'1. Base'!F93</f>
        <v>0</v>
      </c>
      <c r="G93" s="22">
        <f>'2. Simulation'!G93-'1. Base'!G93</f>
        <v>0</v>
      </c>
      <c r="H93" s="22">
        <f>'2. Simulation'!H93-'1. Base'!H93</f>
        <v>0</v>
      </c>
      <c r="I93" s="22">
        <f>'2. Simulation'!I93-'1. Base'!I93</f>
        <v>0</v>
      </c>
      <c r="J93" s="22">
        <f>'2. Simulation'!J93-'1. Base'!J93</f>
        <v>0</v>
      </c>
      <c r="K93" s="22">
        <f>'2. Simulation'!K93-'1. Base'!K93</f>
        <v>0</v>
      </c>
      <c r="L93" s="22">
        <f>'2. Simulation'!L93-'1. Base'!L93</f>
        <v>0</v>
      </c>
      <c r="M93" s="22">
        <f>'2. Simulation'!M93-'1. Base'!M93</f>
        <v>0</v>
      </c>
      <c r="N93" s="22">
        <f>'2. Simulation'!N93-'1. Base'!N93</f>
        <v>0</v>
      </c>
      <c r="O93" s="22">
        <f>'2. Simulation'!O93-'1. Base'!O93</f>
        <v>0</v>
      </c>
      <c r="P93" s="22">
        <f>'2. Simulation'!P93-'1. Base'!P93</f>
        <v>0</v>
      </c>
      <c r="Q93" s="22">
        <f>'2. Simulation'!Q93-'1. Base'!Q93</f>
        <v>0</v>
      </c>
      <c r="R93" s="22">
        <f>'2. Simulation'!R93-'1. Base'!R93</f>
        <v>0</v>
      </c>
      <c r="S93" s="22">
        <f>'2. Simulation'!S93-'1. Base'!S93</f>
        <v>0</v>
      </c>
      <c r="T93" s="22">
        <f>'2. Simulation'!T93-'1. Base'!T93</f>
        <v>0</v>
      </c>
      <c r="U93" s="22">
        <f>'2. Simulation'!U93-'1. Base'!U93</f>
        <v>0</v>
      </c>
      <c r="V93" s="22">
        <f>'2. Simulation'!V93-'1. Base'!V93</f>
        <v>0</v>
      </c>
      <c r="W93" s="22">
        <f>'2. Simulation'!W93-'1. Base'!W93</f>
        <v>0</v>
      </c>
      <c r="X93" s="22">
        <f>'2. Simulation'!X93-'1. Base'!X93</f>
        <v>0</v>
      </c>
      <c r="Y93" s="22">
        <f t="shared" si="14"/>
        <v>0</v>
      </c>
      <c r="Z93" s="42" t="s">
        <v>193</v>
      </c>
    </row>
    <row r="94" spans="2:26" ht="15" customHeight="1" outlineLevel="1" x14ac:dyDescent="0.3">
      <c r="B94" s="35" t="s">
        <v>186</v>
      </c>
      <c r="C94" s="9" t="s">
        <v>72</v>
      </c>
      <c r="D94" s="9" t="s">
        <v>75</v>
      </c>
      <c r="E94" s="22">
        <f>'2. Simulation'!E94-'1. Base'!E94</f>
        <v>0</v>
      </c>
      <c r="F94" s="22">
        <f>'2. Simulation'!F94-'1. Base'!F94</f>
        <v>0</v>
      </c>
      <c r="G94" s="22">
        <f>'2. Simulation'!G94-'1. Base'!G94</f>
        <v>0</v>
      </c>
      <c r="H94" s="22">
        <f>'2. Simulation'!H94-'1. Base'!H94</f>
        <v>0</v>
      </c>
      <c r="I94" s="22">
        <f>'2. Simulation'!I94-'1. Base'!I94</f>
        <v>0</v>
      </c>
      <c r="J94" s="22">
        <f>'2. Simulation'!J94-'1. Base'!J94</f>
        <v>0</v>
      </c>
      <c r="K94" s="22">
        <f>'2. Simulation'!K94-'1. Base'!K94</f>
        <v>0</v>
      </c>
      <c r="L94" s="22">
        <f>'2. Simulation'!L94-'1. Base'!L94</f>
        <v>0</v>
      </c>
      <c r="M94" s="22">
        <f>'2. Simulation'!M94-'1. Base'!M94</f>
        <v>0</v>
      </c>
      <c r="N94" s="22">
        <f>'2. Simulation'!N94-'1. Base'!N94</f>
        <v>0</v>
      </c>
      <c r="O94" s="22">
        <f>'2. Simulation'!O94-'1. Base'!O94</f>
        <v>0</v>
      </c>
      <c r="P94" s="22">
        <f>'2. Simulation'!P94-'1. Base'!P94</f>
        <v>0</v>
      </c>
      <c r="Q94" s="22">
        <f>'2. Simulation'!Q94-'1. Base'!Q94</f>
        <v>0</v>
      </c>
      <c r="R94" s="22">
        <f>'2. Simulation'!R94-'1. Base'!R94</f>
        <v>0</v>
      </c>
      <c r="S94" s="22">
        <f>'2. Simulation'!S94-'1. Base'!S94</f>
        <v>0</v>
      </c>
      <c r="T94" s="22">
        <f>'2. Simulation'!T94-'1. Base'!T94</f>
        <v>0</v>
      </c>
      <c r="U94" s="22">
        <f>'2. Simulation'!U94-'1. Base'!U94</f>
        <v>0</v>
      </c>
      <c r="V94" s="22">
        <f>'2. Simulation'!V94-'1. Base'!V94</f>
        <v>0</v>
      </c>
      <c r="W94" s="22">
        <f>'2. Simulation'!W94-'1. Base'!W94</f>
        <v>0</v>
      </c>
      <c r="X94" s="22">
        <f>'2. Simulation'!X94-'1. Base'!X94</f>
        <v>0</v>
      </c>
      <c r="Y94" s="22">
        <f t="shared" si="14"/>
        <v>0</v>
      </c>
      <c r="Z94" s="42" t="s">
        <v>194</v>
      </c>
    </row>
    <row r="95" spans="2:26" ht="15" customHeight="1" outlineLevel="1" x14ac:dyDescent="0.3">
      <c r="B95" s="35" t="s">
        <v>186</v>
      </c>
      <c r="C95" s="9" t="s">
        <v>76</v>
      </c>
      <c r="D95" s="9" t="s">
        <v>77</v>
      </c>
      <c r="E95" s="22">
        <f>'2. Simulation'!E95-'1. Base'!E95</f>
        <v>0</v>
      </c>
      <c r="F95" s="22">
        <f>'2. Simulation'!F95-'1. Base'!F95</f>
        <v>0</v>
      </c>
      <c r="G95" s="22">
        <f>'2. Simulation'!G95-'1. Base'!G95</f>
        <v>0</v>
      </c>
      <c r="H95" s="22">
        <f>'2. Simulation'!H95-'1. Base'!H95</f>
        <v>0</v>
      </c>
      <c r="I95" s="22">
        <f>'2. Simulation'!I95-'1. Base'!I95</f>
        <v>0</v>
      </c>
      <c r="J95" s="22">
        <f>'2. Simulation'!J95-'1. Base'!J95</f>
        <v>0</v>
      </c>
      <c r="K95" s="22">
        <f>'2. Simulation'!K95-'1. Base'!K95</f>
        <v>0</v>
      </c>
      <c r="L95" s="22">
        <f>'2. Simulation'!L95-'1. Base'!L95</f>
        <v>0</v>
      </c>
      <c r="M95" s="22">
        <f>'2. Simulation'!M95-'1. Base'!M95</f>
        <v>0</v>
      </c>
      <c r="N95" s="22">
        <f>'2. Simulation'!N95-'1. Base'!N95</f>
        <v>0</v>
      </c>
      <c r="O95" s="22">
        <f>'2. Simulation'!O95-'1. Base'!O95</f>
        <v>0</v>
      </c>
      <c r="P95" s="22">
        <f>'2. Simulation'!P95-'1. Base'!P95</f>
        <v>0</v>
      </c>
      <c r="Q95" s="22">
        <f>'2. Simulation'!Q95-'1. Base'!Q95</f>
        <v>0</v>
      </c>
      <c r="R95" s="22">
        <f>'2. Simulation'!R95-'1. Base'!R95</f>
        <v>0</v>
      </c>
      <c r="S95" s="22">
        <f>'2. Simulation'!S95-'1. Base'!S95</f>
        <v>0</v>
      </c>
      <c r="T95" s="22">
        <f>'2. Simulation'!T95-'1. Base'!T95</f>
        <v>0</v>
      </c>
      <c r="U95" s="22">
        <f>'2. Simulation'!U95-'1. Base'!U95</f>
        <v>0</v>
      </c>
      <c r="V95" s="22">
        <f>'2. Simulation'!V95-'1. Base'!V95</f>
        <v>0</v>
      </c>
      <c r="W95" s="22">
        <f>'2. Simulation'!W95-'1. Base'!W95</f>
        <v>0</v>
      </c>
      <c r="X95" s="22">
        <f>'2. Simulation'!X95-'1. Base'!X95</f>
        <v>0</v>
      </c>
      <c r="Y95" s="22">
        <f t="shared" si="14"/>
        <v>0</v>
      </c>
      <c r="Z95" s="42" t="s">
        <v>192</v>
      </c>
    </row>
    <row r="96" spans="2:26" ht="15" customHeight="1" outlineLevel="1" x14ac:dyDescent="0.3">
      <c r="B96" s="35" t="s">
        <v>186</v>
      </c>
      <c r="C96" s="9" t="s">
        <v>76</v>
      </c>
      <c r="D96" s="9" t="s">
        <v>78</v>
      </c>
      <c r="E96" s="22">
        <f>'2. Simulation'!E96-'1. Base'!E96</f>
        <v>0</v>
      </c>
      <c r="F96" s="22">
        <f>'2. Simulation'!F96-'1. Base'!F96</f>
        <v>0</v>
      </c>
      <c r="G96" s="22">
        <f>'2. Simulation'!G96-'1. Base'!G96</f>
        <v>0</v>
      </c>
      <c r="H96" s="22">
        <f>'2. Simulation'!H96-'1. Base'!H96</f>
        <v>0</v>
      </c>
      <c r="I96" s="22">
        <f>'2. Simulation'!I96-'1. Base'!I96</f>
        <v>0</v>
      </c>
      <c r="J96" s="22">
        <f>'2. Simulation'!J96-'1. Base'!J96</f>
        <v>0</v>
      </c>
      <c r="K96" s="22">
        <f>'2. Simulation'!K96-'1. Base'!K96</f>
        <v>0</v>
      </c>
      <c r="L96" s="22">
        <f>'2. Simulation'!L96-'1. Base'!L96</f>
        <v>0</v>
      </c>
      <c r="M96" s="22">
        <f>'2. Simulation'!M96-'1. Base'!M96</f>
        <v>0</v>
      </c>
      <c r="N96" s="22">
        <f>'2. Simulation'!N96-'1. Base'!N96</f>
        <v>0</v>
      </c>
      <c r="O96" s="22">
        <f>'2. Simulation'!O96-'1. Base'!O96</f>
        <v>0</v>
      </c>
      <c r="P96" s="22">
        <f>'2. Simulation'!P96-'1. Base'!P96</f>
        <v>0</v>
      </c>
      <c r="Q96" s="22">
        <f>'2. Simulation'!Q96-'1. Base'!Q96</f>
        <v>0</v>
      </c>
      <c r="R96" s="22">
        <f>'2. Simulation'!R96-'1. Base'!R96</f>
        <v>0</v>
      </c>
      <c r="S96" s="22">
        <f>'2. Simulation'!S96-'1. Base'!S96</f>
        <v>0</v>
      </c>
      <c r="T96" s="22">
        <f>'2. Simulation'!T96-'1. Base'!T96</f>
        <v>0</v>
      </c>
      <c r="U96" s="22">
        <f>'2. Simulation'!U96-'1. Base'!U96</f>
        <v>0</v>
      </c>
      <c r="V96" s="22">
        <f>'2. Simulation'!V96-'1. Base'!V96</f>
        <v>0</v>
      </c>
      <c r="W96" s="22">
        <f>'2. Simulation'!W96-'1. Base'!W96</f>
        <v>0</v>
      </c>
      <c r="X96" s="22">
        <f>'2. Simulation'!X96-'1. Base'!X96</f>
        <v>0</v>
      </c>
      <c r="Y96" s="22">
        <f t="shared" si="14"/>
        <v>0</v>
      </c>
      <c r="Z96" s="42" t="s">
        <v>193</v>
      </c>
    </row>
    <row r="97" spans="2:26" ht="15" customHeight="1" outlineLevel="1" x14ac:dyDescent="0.3">
      <c r="B97" s="35" t="s">
        <v>186</v>
      </c>
      <c r="C97" s="9" t="s">
        <v>76</v>
      </c>
      <c r="D97" s="9" t="s">
        <v>79</v>
      </c>
      <c r="E97" s="22">
        <f>'2. Simulation'!E97-'1. Base'!E97</f>
        <v>0</v>
      </c>
      <c r="F97" s="22">
        <f>'2. Simulation'!F97-'1. Base'!F97</f>
        <v>0</v>
      </c>
      <c r="G97" s="22">
        <f>'2. Simulation'!G97-'1. Base'!G97</f>
        <v>0</v>
      </c>
      <c r="H97" s="22">
        <f>'2. Simulation'!H97-'1. Base'!H97</f>
        <v>0</v>
      </c>
      <c r="I97" s="22">
        <f>'2. Simulation'!I97-'1. Base'!I97</f>
        <v>0</v>
      </c>
      <c r="J97" s="22">
        <f>'2. Simulation'!J97-'1. Base'!J97</f>
        <v>0</v>
      </c>
      <c r="K97" s="22">
        <f>'2. Simulation'!K97-'1. Base'!K97</f>
        <v>0</v>
      </c>
      <c r="L97" s="22">
        <f>'2. Simulation'!L97-'1. Base'!L97</f>
        <v>0</v>
      </c>
      <c r="M97" s="22">
        <f>'2. Simulation'!M97-'1. Base'!M97</f>
        <v>0</v>
      </c>
      <c r="N97" s="22">
        <f>'2. Simulation'!N97-'1. Base'!N97</f>
        <v>0</v>
      </c>
      <c r="O97" s="22">
        <f>'2. Simulation'!O97-'1. Base'!O97</f>
        <v>0</v>
      </c>
      <c r="P97" s="22">
        <f>'2. Simulation'!P97-'1. Base'!P97</f>
        <v>0</v>
      </c>
      <c r="Q97" s="22">
        <f>'2. Simulation'!Q97-'1. Base'!Q97</f>
        <v>0</v>
      </c>
      <c r="R97" s="22">
        <f>'2. Simulation'!R97-'1. Base'!R97</f>
        <v>0</v>
      </c>
      <c r="S97" s="22">
        <f>'2. Simulation'!S97-'1. Base'!S97</f>
        <v>0</v>
      </c>
      <c r="T97" s="22">
        <f>'2. Simulation'!T97-'1. Base'!T97</f>
        <v>0</v>
      </c>
      <c r="U97" s="22">
        <f>'2. Simulation'!U97-'1. Base'!U97</f>
        <v>0</v>
      </c>
      <c r="V97" s="22">
        <f>'2. Simulation'!V97-'1. Base'!V97</f>
        <v>0</v>
      </c>
      <c r="W97" s="22">
        <f>'2. Simulation'!W97-'1. Base'!W97</f>
        <v>0</v>
      </c>
      <c r="X97" s="22">
        <f>'2. Simulation'!X97-'1. Base'!X97</f>
        <v>0</v>
      </c>
      <c r="Y97" s="22">
        <f t="shared" si="14"/>
        <v>0</v>
      </c>
      <c r="Z97" s="42" t="s">
        <v>194</v>
      </c>
    </row>
    <row r="98" spans="2:26" ht="15" customHeight="1" outlineLevel="1" x14ac:dyDescent="0.3">
      <c r="B98" s="35" t="s">
        <v>186</v>
      </c>
      <c r="C98" s="9" t="s">
        <v>80</v>
      </c>
      <c r="D98" s="9" t="s">
        <v>81</v>
      </c>
      <c r="E98" s="22">
        <f>'2. Simulation'!E98-'1. Base'!E98</f>
        <v>0</v>
      </c>
      <c r="F98" s="22">
        <f>'2. Simulation'!F98-'1. Base'!F98</f>
        <v>0</v>
      </c>
      <c r="G98" s="22">
        <f>'2. Simulation'!G98-'1. Base'!G98</f>
        <v>0</v>
      </c>
      <c r="H98" s="22">
        <f>'2. Simulation'!H98-'1. Base'!H98</f>
        <v>0</v>
      </c>
      <c r="I98" s="22">
        <f>'2. Simulation'!I98-'1. Base'!I98</f>
        <v>0</v>
      </c>
      <c r="J98" s="22">
        <f>'2. Simulation'!J98-'1. Base'!J98</f>
        <v>0</v>
      </c>
      <c r="K98" s="22">
        <f>'2. Simulation'!K98-'1. Base'!K98</f>
        <v>0</v>
      </c>
      <c r="L98" s="22">
        <f>'2. Simulation'!L98-'1. Base'!L98</f>
        <v>0</v>
      </c>
      <c r="M98" s="22">
        <f>'2. Simulation'!M98-'1. Base'!M98</f>
        <v>0</v>
      </c>
      <c r="N98" s="22">
        <f>'2. Simulation'!N98-'1. Base'!N98</f>
        <v>0</v>
      </c>
      <c r="O98" s="22">
        <f>'2. Simulation'!O98-'1. Base'!O98</f>
        <v>0</v>
      </c>
      <c r="P98" s="22">
        <f>'2. Simulation'!P98-'1. Base'!P98</f>
        <v>0</v>
      </c>
      <c r="Q98" s="22">
        <f>'2. Simulation'!Q98-'1. Base'!Q98</f>
        <v>0</v>
      </c>
      <c r="R98" s="22">
        <f>'2. Simulation'!R98-'1. Base'!R98</f>
        <v>0</v>
      </c>
      <c r="S98" s="22">
        <f>'2. Simulation'!S98-'1. Base'!S98</f>
        <v>0</v>
      </c>
      <c r="T98" s="22">
        <f>'2. Simulation'!T98-'1. Base'!T98</f>
        <v>0</v>
      </c>
      <c r="U98" s="22">
        <f>'2. Simulation'!U98-'1. Base'!U98</f>
        <v>0</v>
      </c>
      <c r="V98" s="22">
        <f>'2. Simulation'!V98-'1. Base'!V98</f>
        <v>0</v>
      </c>
      <c r="W98" s="22">
        <f>'2. Simulation'!W98-'1. Base'!W98</f>
        <v>0</v>
      </c>
      <c r="X98" s="22">
        <f>'2. Simulation'!X98-'1. Base'!X98</f>
        <v>0</v>
      </c>
      <c r="Y98" s="22">
        <f t="shared" si="14"/>
        <v>0</v>
      </c>
      <c r="Z98" s="42" t="s">
        <v>192</v>
      </c>
    </row>
    <row r="99" spans="2:26" ht="15" customHeight="1" outlineLevel="1" x14ac:dyDescent="0.3">
      <c r="B99" s="35" t="s">
        <v>186</v>
      </c>
      <c r="C99" s="9" t="s">
        <v>80</v>
      </c>
      <c r="D99" s="9" t="s">
        <v>82</v>
      </c>
      <c r="E99" s="22">
        <f>'2. Simulation'!E99-'1. Base'!E99</f>
        <v>0</v>
      </c>
      <c r="F99" s="22">
        <f>'2. Simulation'!F99-'1. Base'!F99</f>
        <v>0</v>
      </c>
      <c r="G99" s="22">
        <f>'2. Simulation'!G99-'1. Base'!G99</f>
        <v>0</v>
      </c>
      <c r="H99" s="22">
        <f>'2. Simulation'!H99-'1. Base'!H99</f>
        <v>0</v>
      </c>
      <c r="I99" s="22">
        <f>'2. Simulation'!I99-'1. Base'!I99</f>
        <v>0</v>
      </c>
      <c r="J99" s="22">
        <f>'2. Simulation'!J99-'1. Base'!J99</f>
        <v>0</v>
      </c>
      <c r="K99" s="22">
        <f>'2. Simulation'!K99-'1. Base'!K99</f>
        <v>0</v>
      </c>
      <c r="L99" s="22">
        <f>'2. Simulation'!L99-'1. Base'!L99</f>
        <v>0</v>
      </c>
      <c r="M99" s="22">
        <f>'2. Simulation'!M99-'1. Base'!M99</f>
        <v>0</v>
      </c>
      <c r="N99" s="22">
        <f>'2. Simulation'!N99-'1. Base'!N99</f>
        <v>0</v>
      </c>
      <c r="O99" s="22">
        <f>'2. Simulation'!O99-'1. Base'!O99</f>
        <v>0</v>
      </c>
      <c r="P99" s="22">
        <f>'2. Simulation'!P99-'1. Base'!P99</f>
        <v>0</v>
      </c>
      <c r="Q99" s="22">
        <f>'2. Simulation'!Q99-'1. Base'!Q99</f>
        <v>0</v>
      </c>
      <c r="R99" s="22">
        <f>'2. Simulation'!R99-'1. Base'!R99</f>
        <v>0</v>
      </c>
      <c r="S99" s="22">
        <f>'2. Simulation'!S99-'1. Base'!S99</f>
        <v>0</v>
      </c>
      <c r="T99" s="22">
        <f>'2. Simulation'!T99-'1. Base'!T99</f>
        <v>0</v>
      </c>
      <c r="U99" s="22">
        <f>'2. Simulation'!U99-'1. Base'!U99</f>
        <v>0</v>
      </c>
      <c r="V99" s="22">
        <f>'2. Simulation'!V99-'1. Base'!V99</f>
        <v>0</v>
      </c>
      <c r="W99" s="22">
        <f>'2. Simulation'!W99-'1. Base'!W99</f>
        <v>0</v>
      </c>
      <c r="X99" s="22">
        <f>'2. Simulation'!X99-'1. Base'!X99</f>
        <v>0</v>
      </c>
      <c r="Y99" s="22">
        <f t="shared" si="14"/>
        <v>0</v>
      </c>
      <c r="Z99" s="42" t="s">
        <v>193</v>
      </c>
    </row>
    <row r="100" spans="2:26" ht="15" customHeight="1" outlineLevel="1" x14ac:dyDescent="0.3">
      <c r="B100" s="35" t="s">
        <v>186</v>
      </c>
      <c r="C100" s="9" t="s">
        <v>80</v>
      </c>
      <c r="D100" s="9" t="s">
        <v>83</v>
      </c>
      <c r="E100" s="22">
        <f>'2. Simulation'!E100-'1. Base'!E100</f>
        <v>0</v>
      </c>
      <c r="F100" s="22">
        <f>'2. Simulation'!F100-'1. Base'!F100</f>
        <v>0</v>
      </c>
      <c r="G100" s="22">
        <f>'2. Simulation'!G100-'1. Base'!G100</f>
        <v>0</v>
      </c>
      <c r="H100" s="22">
        <f>'2. Simulation'!H100-'1. Base'!H100</f>
        <v>0</v>
      </c>
      <c r="I100" s="22">
        <f>'2. Simulation'!I100-'1. Base'!I100</f>
        <v>0</v>
      </c>
      <c r="J100" s="22">
        <f>'2. Simulation'!J100-'1. Base'!J100</f>
        <v>0</v>
      </c>
      <c r="K100" s="22">
        <f>'2. Simulation'!K100-'1. Base'!K100</f>
        <v>0</v>
      </c>
      <c r="L100" s="22">
        <f>'2. Simulation'!L100-'1. Base'!L100</f>
        <v>0</v>
      </c>
      <c r="M100" s="22">
        <f>'2. Simulation'!M100-'1. Base'!M100</f>
        <v>0</v>
      </c>
      <c r="N100" s="22">
        <f>'2. Simulation'!N100-'1. Base'!N100</f>
        <v>0</v>
      </c>
      <c r="O100" s="22">
        <f>'2. Simulation'!O100-'1. Base'!O100</f>
        <v>0</v>
      </c>
      <c r="P100" s="22">
        <f>'2. Simulation'!P100-'1. Base'!P100</f>
        <v>0</v>
      </c>
      <c r="Q100" s="22">
        <f>'2. Simulation'!Q100-'1. Base'!Q100</f>
        <v>0</v>
      </c>
      <c r="R100" s="22">
        <f>'2. Simulation'!R100-'1. Base'!R100</f>
        <v>0</v>
      </c>
      <c r="S100" s="22">
        <f>'2. Simulation'!S100-'1. Base'!S100</f>
        <v>0</v>
      </c>
      <c r="T100" s="22">
        <f>'2. Simulation'!T100-'1. Base'!T100</f>
        <v>0</v>
      </c>
      <c r="U100" s="22">
        <f>'2. Simulation'!U100-'1. Base'!U100</f>
        <v>0</v>
      </c>
      <c r="V100" s="22">
        <f>'2. Simulation'!V100-'1. Base'!V100</f>
        <v>0</v>
      </c>
      <c r="W100" s="22">
        <f>'2. Simulation'!W100-'1. Base'!W100</f>
        <v>0</v>
      </c>
      <c r="X100" s="22">
        <f>'2. Simulation'!X100-'1. Base'!X100</f>
        <v>0</v>
      </c>
      <c r="Y100" s="22">
        <f t="shared" si="14"/>
        <v>0</v>
      </c>
      <c r="Z100" s="42" t="s">
        <v>194</v>
      </c>
    </row>
    <row r="101" spans="2:26" ht="15" customHeight="1" outlineLevel="1" x14ac:dyDescent="0.3">
      <c r="B101" s="35" t="s">
        <v>186</v>
      </c>
      <c r="C101" s="9" t="s">
        <v>84</v>
      </c>
      <c r="D101" s="9" t="s">
        <v>85</v>
      </c>
      <c r="E101" s="22">
        <f>'2. Simulation'!E101-'1. Base'!E101</f>
        <v>0</v>
      </c>
      <c r="F101" s="22">
        <f>'2. Simulation'!F101-'1. Base'!F101</f>
        <v>0</v>
      </c>
      <c r="G101" s="22">
        <f>'2. Simulation'!G101-'1. Base'!G101</f>
        <v>0</v>
      </c>
      <c r="H101" s="22">
        <f>'2. Simulation'!H101-'1. Base'!H101</f>
        <v>0</v>
      </c>
      <c r="I101" s="22">
        <f>'2. Simulation'!I101-'1. Base'!I101</f>
        <v>0</v>
      </c>
      <c r="J101" s="22">
        <f>'2. Simulation'!J101-'1. Base'!J101</f>
        <v>0</v>
      </c>
      <c r="K101" s="22">
        <f>'2. Simulation'!K101-'1. Base'!K101</f>
        <v>0</v>
      </c>
      <c r="L101" s="22">
        <f>'2. Simulation'!L101-'1. Base'!L101</f>
        <v>0</v>
      </c>
      <c r="M101" s="22">
        <f>'2. Simulation'!M101-'1. Base'!M101</f>
        <v>0</v>
      </c>
      <c r="N101" s="22">
        <f>'2. Simulation'!N101-'1. Base'!N101</f>
        <v>0</v>
      </c>
      <c r="O101" s="22">
        <f>'2. Simulation'!O101-'1. Base'!O101</f>
        <v>0</v>
      </c>
      <c r="P101" s="22">
        <f>'2. Simulation'!P101-'1. Base'!P101</f>
        <v>0</v>
      </c>
      <c r="Q101" s="22">
        <f>'2. Simulation'!Q101-'1. Base'!Q101</f>
        <v>0</v>
      </c>
      <c r="R101" s="22">
        <f>'2. Simulation'!R101-'1. Base'!R101</f>
        <v>0</v>
      </c>
      <c r="S101" s="22">
        <f>'2. Simulation'!S101-'1. Base'!S101</f>
        <v>0</v>
      </c>
      <c r="T101" s="22">
        <f>'2. Simulation'!T101-'1. Base'!T101</f>
        <v>0</v>
      </c>
      <c r="U101" s="22">
        <f>'2. Simulation'!U101-'1. Base'!U101</f>
        <v>0</v>
      </c>
      <c r="V101" s="22">
        <f>'2. Simulation'!V101-'1. Base'!V101</f>
        <v>0</v>
      </c>
      <c r="W101" s="22">
        <f>'2. Simulation'!W101-'1. Base'!W101</f>
        <v>0</v>
      </c>
      <c r="X101" s="22">
        <f>'2. Simulation'!X101-'1. Base'!X101</f>
        <v>0</v>
      </c>
      <c r="Y101" s="22">
        <f t="shared" si="14"/>
        <v>0</v>
      </c>
      <c r="Z101" s="42" t="s">
        <v>192</v>
      </c>
    </row>
    <row r="102" spans="2:26" ht="15" customHeight="1" outlineLevel="1" x14ac:dyDescent="0.3">
      <c r="B102" s="35" t="s">
        <v>186</v>
      </c>
      <c r="C102" s="9" t="s">
        <v>84</v>
      </c>
      <c r="D102" s="9" t="s">
        <v>86</v>
      </c>
      <c r="E102" s="22">
        <f>'2. Simulation'!E102-'1. Base'!E102</f>
        <v>0</v>
      </c>
      <c r="F102" s="22">
        <f>'2. Simulation'!F102-'1. Base'!F102</f>
        <v>0</v>
      </c>
      <c r="G102" s="22">
        <f>'2. Simulation'!G102-'1. Base'!G102</f>
        <v>0</v>
      </c>
      <c r="H102" s="22">
        <f>'2. Simulation'!H102-'1. Base'!H102</f>
        <v>0</v>
      </c>
      <c r="I102" s="22">
        <f>'2. Simulation'!I102-'1. Base'!I102</f>
        <v>0</v>
      </c>
      <c r="J102" s="22">
        <f>'2. Simulation'!J102-'1. Base'!J102</f>
        <v>0</v>
      </c>
      <c r="K102" s="22">
        <f>'2. Simulation'!K102-'1. Base'!K102</f>
        <v>0</v>
      </c>
      <c r="L102" s="22">
        <f>'2. Simulation'!L102-'1. Base'!L102</f>
        <v>0</v>
      </c>
      <c r="M102" s="22">
        <f>'2. Simulation'!M102-'1. Base'!M102</f>
        <v>0</v>
      </c>
      <c r="N102" s="22">
        <f>'2. Simulation'!N102-'1. Base'!N102</f>
        <v>0</v>
      </c>
      <c r="O102" s="22">
        <f>'2. Simulation'!O102-'1. Base'!O102</f>
        <v>0</v>
      </c>
      <c r="P102" s="22">
        <f>'2. Simulation'!P102-'1. Base'!P102</f>
        <v>0</v>
      </c>
      <c r="Q102" s="22">
        <f>'2. Simulation'!Q102-'1. Base'!Q102</f>
        <v>0</v>
      </c>
      <c r="R102" s="22">
        <f>'2. Simulation'!R102-'1. Base'!R102</f>
        <v>0</v>
      </c>
      <c r="S102" s="22">
        <f>'2. Simulation'!S102-'1. Base'!S102</f>
        <v>0</v>
      </c>
      <c r="T102" s="22">
        <f>'2. Simulation'!T102-'1. Base'!T102</f>
        <v>0</v>
      </c>
      <c r="U102" s="22">
        <f>'2. Simulation'!U102-'1. Base'!U102</f>
        <v>0</v>
      </c>
      <c r="V102" s="22">
        <f>'2. Simulation'!V102-'1. Base'!V102</f>
        <v>0</v>
      </c>
      <c r="W102" s="22">
        <f>'2. Simulation'!W102-'1. Base'!W102</f>
        <v>0</v>
      </c>
      <c r="X102" s="22">
        <f>'2. Simulation'!X102-'1. Base'!X102</f>
        <v>0</v>
      </c>
      <c r="Y102" s="22">
        <f t="shared" si="14"/>
        <v>0</v>
      </c>
      <c r="Z102" s="42" t="s">
        <v>193</v>
      </c>
    </row>
    <row r="103" spans="2:26" ht="15" customHeight="1" outlineLevel="1" x14ac:dyDescent="0.3">
      <c r="B103" s="35" t="s">
        <v>186</v>
      </c>
      <c r="C103" s="9" t="s">
        <v>84</v>
      </c>
      <c r="D103" s="9" t="s">
        <v>87</v>
      </c>
      <c r="E103" s="22">
        <f>'2. Simulation'!E103-'1. Base'!E103</f>
        <v>0</v>
      </c>
      <c r="F103" s="22">
        <f>'2. Simulation'!F103-'1. Base'!F103</f>
        <v>0</v>
      </c>
      <c r="G103" s="22">
        <f>'2. Simulation'!G103-'1. Base'!G103</f>
        <v>0</v>
      </c>
      <c r="H103" s="22">
        <f>'2. Simulation'!H103-'1. Base'!H103</f>
        <v>0</v>
      </c>
      <c r="I103" s="22">
        <f>'2. Simulation'!I103-'1. Base'!I103</f>
        <v>0</v>
      </c>
      <c r="J103" s="22">
        <f>'2. Simulation'!J103-'1. Base'!J103</f>
        <v>0</v>
      </c>
      <c r="K103" s="22">
        <f>'2. Simulation'!K103-'1. Base'!K103</f>
        <v>0</v>
      </c>
      <c r="L103" s="22">
        <f>'2. Simulation'!L103-'1. Base'!L103</f>
        <v>0</v>
      </c>
      <c r="M103" s="22">
        <f>'2. Simulation'!M103-'1. Base'!M103</f>
        <v>0</v>
      </c>
      <c r="N103" s="22">
        <f>'2. Simulation'!N103-'1. Base'!N103</f>
        <v>0</v>
      </c>
      <c r="O103" s="22">
        <f>'2. Simulation'!O103-'1. Base'!O103</f>
        <v>0</v>
      </c>
      <c r="P103" s="22">
        <f>'2. Simulation'!P103-'1. Base'!P103</f>
        <v>0</v>
      </c>
      <c r="Q103" s="22">
        <f>'2. Simulation'!Q103-'1. Base'!Q103</f>
        <v>0</v>
      </c>
      <c r="R103" s="22">
        <f>'2. Simulation'!R103-'1. Base'!R103</f>
        <v>0</v>
      </c>
      <c r="S103" s="22">
        <f>'2. Simulation'!S103-'1. Base'!S103</f>
        <v>0</v>
      </c>
      <c r="T103" s="22">
        <f>'2. Simulation'!T103-'1. Base'!T103</f>
        <v>0</v>
      </c>
      <c r="U103" s="22">
        <f>'2. Simulation'!U103-'1. Base'!U103</f>
        <v>0</v>
      </c>
      <c r="V103" s="22">
        <f>'2. Simulation'!V103-'1. Base'!V103</f>
        <v>0</v>
      </c>
      <c r="W103" s="22">
        <f>'2. Simulation'!W103-'1. Base'!W103</f>
        <v>0</v>
      </c>
      <c r="X103" s="22">
        <f>'2. Simulation'!X103-'1. Base'!X103</f>
        <v>0</v>
      </c>
      <c r="Y103" s="22">
        <f t="shared" si="14"/>
        <v>0</v>
      </c>
      <c r="Z103" s="42" t="s">
        <v>194</v>
      </c>
    </row>
    <row r="104" spans="2:26" ht="15" customHeight="1" outlineLevel="1" x14ac:dyDescent="0.3">
      <c r="B104" s="35" t="s">
        <v>186</v>
      </c>
      <c r="C104" s="9" t="s">
        <v>88</v>
      </c>
      <c r="D104" s="9" t="s">
        <v>89</v>
      </c>
      <c r="E104" s="22">
        <f>'2. Simulation'!E104-'1. Base'!E104</f>
        <v>0</v>
      </c>
      <c r="F104" s="22">
        <f>'2. Simulation'!F104-'1. Base'!F104</f>
        <v>0</v>
      </c>
      <c r="G104" s="22">
        <f>'2. Simulation'!G104-'1. Base'!G104</f>
        <v>0</v>
      </c>
      <c r="H104" s="22">
        <f>'2. Simulation'!H104-'1. Base'!H104</f>
        <v>0</v>
      </c>
      <c r="I104" s="22">
        <f>'2. Simulation'!I104-'1. Base'!I104</f>
        <v>0</v>
      </c>
      <c r="J104" s="22">
        <f>'2. Simulation'!J104-'1. Base'!J104</f>
        <v>0</v>
      </c>
      <c r="K104" s="22">
        <f>'2. Simulation'!K104-'1. Base'!K104</f>
        <v>0</v>
      </c>
      <c r="L104" s="22">
        <f>'2. Simulation'!L104-'1. Base'!L104</f>
        <v>0</v>
      </c>
      <c r="M104" s="22">
        <f>'2. Simulation'!M104-'1. Base'!M104</f>
        <v>0</v>
      </c>
      <c r="N104" s="22">
        <f>'2. Simulation'!N104-'1. Base'!N104</f>
        <v>0</v>
      </c>
      <c r="O104" s="22">
        <f>'2. Simulation'!O104-'1. Base'!O104</f>
        <v>0</v>
      </c>
      <c r="P104" s="22">
        <f>'2. Simulation'!P104-'1. Base'!P104</f>
        <v>0</v>
      </c>
      <c r="Q104" s="22">
        <f>'2. Simulation'!Q104-'1. Base'!Q104</f>
        <v>0</v>
      </c>
      <c r="R104" s="22">
        <f>'2. Simulation'!R104-'1. Base'!R104</f>
        <v>0</v>
      </c>
      <c r="S104" s="22">
        <f>'2. Simulation'!S104-'1. Base'!S104</f>
        <v>0</v>
      </c>
      <c r="T104" s="22">
        <f>'2. Simulation'!T104-'1. Base'!T104</f>
        <v>0</v>
      </c>
      <c r="U104" s="22">
        <f>'2. Simulation'!U104-'1. Base'!U104</f>
        <v>0</v>
      </c>
      <c r="V104" s="22">
        <f>'2. Simulation'!V104-'1. Base'!V104</f>
        <v>0</v>
      </c>
      <c r="W104" s="22">
        <f>'2. Simulation'!W104-'1. Base'!W104</f>
        <v>0</v>
      </c>
      <c r="X104" s="22">
        <f>'2. Simulation'!X104-'1. Base'!X104</f>
        <v>0</v>
      </c>
      <c r="Y104" s="22">
        <f t="shared" si="14"/>
        <v>0</v>
      </c>
      <c r="Z104" s="42" t="s">
        <v>192</v>
      </c>
    </row>
    <row r="105" spans="2:26" ht="15" customHeight="1" outlineLevel="1" x14ac:dyDescent="0.3">
      <c r="B105" s="35" t="s">
        <v>186</v>
      </c>
      <c r="C105" s="9" t="s">
        <v>88</v>
      </c>
      <c r="D105" s="9" t="s">
        <v>90</v>
      </c>
      <c r="E105" s="22">
        <f>'2. Simulation'!E105-'1. Base'!E105</f>
        <v>0</v>
      </c>
      <c r="F105" s="22">
        <f>'2. Simulation'!F105-'1. Base'!F105</f>
        <v>0</v>
      </c>
      <c r="G105" s="22">
        <f>'2. Simulation'!G105-'1. Base'!G105</f>
        <v>0</v>
      </c>
      <c r="H105" s="22">
        <f>'2. Simulation'!H105-'1. Base'!H105</f>
        <v>0</v>
      </c>
      <c r="I105" s="22">
        <f>'2. Simulation'!I105-'1. Base'!I105</f>
        <v>0</v>
      </c>
      <c r="J105" s="22">
        <f>'2. Simulation'!J105-'1. Base'!J105</f>
        <v>0</v>
      </c>
      <c r="K105" s="22">
        <f>'2. Simulation'!K105-'1. Base'!K105</f>
        <v>0</v>
      </c>
      <c r="L105" s="22">
        <f>'2. Simulation'!L105-'1. Base'!L105</f>
        <v>0</v>
      </c>
      <c r="M105" s="22">
        <f>'2. Simulation'!M105-'1. Base'!M105</f>
        <v>0</v>
      </c>
      <c r="N105" s="22">
        <f>'2. Simulation'!N105-'1. Base'!N105</f>
        <v>0</v>
      </c>
      <c r="O105" s="22">
        <f>'2. Simulation'!O105-'1. Base'!O105</f>
        <v>0</v>
      </c>
      <c r="P105" s="22">
        <f>'2. Simulation'!P105-'1. Base'!P105</f>
        <v>0</v>
      </c>
      <c r="Q105" s="22">
        <f>'2. Simulation'!Q105-'1. Base'!Q105</f>
        <v>0</v>
      </c>
      <c r="R105" s="22">
        <f>'2. Simulation'!R105-'1. Base'!R105</f>
        <v>0</v>
      </c>
      <c r="S105" s="22">
        <f>'2. Simulation'!S105-'1. Base'!S105</f>
        <v>0</v>
      </c>
      <c r="T105" s="22">
        <f>'2. Simulation'!T105-'1. Base'!T105</f>
        <v>0</v>
      </c>
      <c r="U105" s="22">
        <f>'2. Simulation'!U105-'1. Base'!U105</f>
        <v>0</v>
      </c>
      <c r="V105" s="22">
        <f>'2. Simulation'!V105-'1. Base'!V105</f>
        <v>0</v>
      </c>
      <c r="W105" s="22">
        <f>'2. Simulation'!W105-'1. Base'!W105</f>
        <v>0</v>
      </c>
      <c r="X105" s="22">
        <f>'2. Simulation'!X105-'1. Base'!X105</f>
        <v>0</v>
      </c>
      <c r="Y105" s="22">
        <f t="shared" si="14"/>
        <v>0</v>
      </c>
      <c r="Z105" s="42" t="s">
        <v>193</v>
      </c>
    </row>
    <row r="106" spans="2:26" ht="15" customHeight="1" outlineLevel="1" x14ac:dyDescent="0.3">
      <c r="B106" s="35" t="s">
        <v>186</v>
      </c>
      <c r="C106" s="9" t="s">
        <v>88</v>
      </c>
      <c r="D106" s="9" t="s">
        <v>91</v>
      </c>
      <c r="E106" s="22">
        <f>'2. Simulation'!E106-'1. Base'!E106</f>
        <v>0</v>
      </c>
      <c r="F106" s="22">
        <f>'2. Simulation'!F106-'1. Base'!F106</f>
        <v>0</v>
      </c>
      <c r="G106" s="22">
        <f>'2. Simulation'!G106-'1. Base'!G106</f>
        <v>0</v>
      </c>
      <c r="H106" s="22">
        <f>'2. Simulation'!H106-'1. Base'!H106</f>
        <v>0</v>
      </c>
      <c r="I106" s="22">
        <f>'2. Simulation'!I106-'1. Base'!I106</f>
        <v>0</v>
      </c>
      <c r="J106" s="22">
        <f>'2. Simulation'!J106-'1. Base'!J106</f>
        <v>0</v>
      </c>
      <c r="K106" s="22">
        <f>'2. Simulation'!K106-'1. Base'!K106</f>
        <v>0</v>
      </c>
      <c r="L106" s="22">
        <f>'2. Simulation'!L106-'1. Base'!L106</f>
        <v>0</v>
      </c>
      <c r="M106" s="22">
        <f>'2. Simulation'!M106-'1. Base'!M106</f>
        <v>0</v>
      </c>
      <c r="N106" s="22">
        <f>'2. Simulation'!N106-'1. Base'!N106</f>
        <v>0</v>
      </c>
      <c r="O106" s="22">
        <f>'2. Simulation'!O106-'1. Base'!O106</f>
        <v>0</v>
      </c>
      <c r="P106" s="22">
        <f>'2. Simulation'!P106-'1. Base'!P106</f>
        <v>0</v>
      </c>
      <c r="Q106" s="22">
        <f>'2. Simulation'!Q106-'1. Base'!Q106</f>
        <v>0</v>
      </c>
      <c r="R106" s="22">
        <f>'2. Simulation'!R106-'1. Base'!R106</f>
        <v>0</v>
      </c>
      <c r="S106" s="22">
        <f>'2. Simulation'!S106-'1. Base'!S106</f>
        <v>0</v>
      </c>
      <c r="T106" s="22">
        <f>'2. Simulation'!T106-'1. Base'!T106</f>
        <v>0</v>
      </c>
      <c r="U106" s="22">
        <f>'2. Simulation'!U106-'1. Base'!U106</f>
        <v>0</v>
      </c>
      <c r="V106" s="22">
        <f>'2. Simulation'!V106-'1. Base'!V106</f>
        <v>0</v>
      </c>
      <c r="W106" s="22">
        <f>'2. Simulation'!W106-'1. Base'!W106</f>
        <v>0</v>
      </c>
      <c r="X106" s="22">
        <f>'2. Simulation'!X106-'1. Base'!X106</f>
        <v>0</v>
      </c>
      <c r="Y106" s="22">
        <f t="shared" si="14"/>
        <v>0</v>
      </c>
      <c r="Z106" s="42" t="s">
        <v>194</v>
      </c>
    </row>
    <row r="107" spans="2:26" ht="15" customHeight="1" outlineLevel="1" x14ac:dyDescent="0.3">
      <c r="B107" s="35" t="s">
        <v>186</v>
      </c>
      <c r="C107" s="9" t="s">
        <v>92</v>
      </c>
      <c r="D107" s="9" t="s">
        <v>93</v>
      </c>
      <c r="E107" s="22">
        <f>'2. Simulation'!E107-'1. Base'!E107</f>
        <v>0</v>
      </c>
      <c r="F107" s="22">
        <f>'2. Simulation'!F107-'1. Base'!F107</f>
        <v>0</v>
      </c>
      <c r="G107" s="22">
        <f>'2. Simulation'!G107-'1. Base'!G107</f>
        <v>0</v>
      </c>
      <c r="H107" s="22">
        <f>'2. Simulation'!H107-'1. Base'!H107</f>
        <v>0</v>
      </c>
      <c r="I107" s="22">
        <f>'2. Simulation'!I107-'1. Base'!I107</f>
        <v>0</v>
      </c>
      <c r="J107" s="22">
        <f>'2. Simulation'!J107-'1. Base'!J107</f>
        <v>0</v>
      </c>
      <c r="K107" s="22">
        <f>'2. Simulation'!K107-'1. Base'!K107</f>
        <v>0</v>
      </c>
      <c r="L107" s="22">
        <f>'2. Simulation'!L107-'1. Base'!L107</f>
        <v>0</v>
      </c>
      <c r="M107" s="22">
        <f>'2. Simulation'!M107-'1. Base'!M107</f>
        <v>0</v>
      </c>
      <c r="N107" s="22">
        <f>'2. Simulation'!N107-'1. Base'!N107</f>
        <v>0</v>
      </c>
      <c r="O107" s="22">
        <f>'2. Simulation'!O107-'1. Base'!O107</f>
        <v>0</v>
      </c>
      <c r="P107" s="22">
        <f>'2. Simulation'!P107-'1. Base'!P107</f>
        <v>0</v>
      </c>
      <c r="Q107" s="22">
        <f>'2. Simulation'!Q107-'1. Base'!Q107</f>
        <v>0</v>
      </c>
      <c r="R107" s="22">
        <f>'2. Simulation'!R107-'1. Base'!R107</f>
        <v>0</v>
      </c>
      <c r="S107" s="22">
        <f>'2. Simulation'!S107-'1. Base'!S107</f>
        <v>0</v>
      </c>
      <c r="T107" s="22">
        <f>'2. Simulation'!T107-'1. Base'!T107</f>
        <v>0</v>
      </c>
      <c r="U107" s="22">
        <f>'2. Simulation'!U107-'1. Base'!U107</f>
        <v>0</v>
      </c>
      <c r="V107" s="22">
        <f>'2. Simulation'!V107-'1. Base'!V107</f>
        <v>0</v>
      </c>
      <c r="W107" s="22">
        <f>'2. Simulation'!W107-'1. Base'!W107</f>
        <v>0</v>
      </c>
      <c r="X107" s="22">
        <f>'2. Simulation'!X107-'1. Base'!X107</f>
        <v>0</v>
      </c>
      <c r="Y107" s="22">
        <f t="shared" si="14"/>
        <v>0</v>
      </c>
      <c r="Z107" s="42" t="s">
        <v>192</v>
      </c>
    </row>
    <row r="108" spans="2:26" ht="15" customHeight="1" outlineLevel="1" x14ac:dyDescent="0.3">
      <c r="B108" s="35" t="s">
        <v>186</v>
      </c>
      <c r="C108" s="9" t="s">
        <v>92</v>
      </c>
      <c r="D108" s="9" t="s">
        <v>94</v>
      </c>
      <c r="E108" s="22">
        <f>'2. Simulation'!E108-'1. Base'!E108</f>
        <v>0</v>
      </c>
      <c r="F108" s="22">
        <f>'2. Simulation'!F108-'1. Base'!F108</f>
        <v>0</v>
      </c>
      <c r="G108" s="22">
        <f>'2. Simulation'!G108-'1. Base'!G108</f>
        <v>0</v>
      </c>
      <c r="H108" s="22">
        <f>'2. Simulation'!H108-'1. Base'!H108</f>
        <v>0</v>
      </c>
      <c r="I108" s="22">
        <f>'2. Simulation'!I108-'1. Base'!I108</f>
        <v>0</v>
      </c>
      <c r="J108" s="22">
        <f>'2. Simulation'!J108-'1. Base'!J108</f>
        <v>0</v>
      </c>
      <c r="K108" s="22">
        <f>'2. Simulation'!K108-'1. Base'!K108</f>
        <v>0</v>
      </c>
      <c r="L108" s="22">
        <f>'2. Simulation'!L108-'1. Base'!L108</f>
        <v>0</v>
      </c>
      <c r="M108" s="22">
        <f>'2. Simulation'!M108-'1. Base'!M108</f>
        <v>0</v>
      </c>
      <c r="N108" s="22">
        <f>'2. Simulation'!N108-'1. Base'!N108</f>
        <v>0</v>
      </c>
      <c r="O108" s="22">
        <f>'2. Simulation'!O108-'1. Base'!O108</f>
        <v>0</v>
      </c>
      <c r="P108" s="22">
        <f>'2. Simulation'!P108-'1. Base'!P108</f>
        <v>0</v>
      </c>
      <c r="Q108" s="22">
        <f>'2. Simulation'!Q108-'1. Base'!Q108</f>
        <v>0</v>
      </c>
      <c r="R108" s="22">
        <f>'2. Simulation'!R108-'1. Base'!R108</f>
        <v>0</v>
      </c>
      <c r="S108" s="22">
        <f>'2. Simulation'!S108-'1. Base'!S108</f>
        <v>0</v>
      </c>
      <c r="T108" s="22">
        <f>'2. Simulation'!T108-'1. Base'!T108</f>
        <v>0</v>
      </c>
      <c r="U108" s="22">
        <f>'2. Simulation'!U108-'1. Base'!U108</f>
        <v>0</v>
      </c>
      <c r="V108" s="22">
        <f>'2. Simulation'!V108-'1. Base'!V108</f>
        <v>0</v>
      </c>
      <c r="W108" s="22">
        <f>'2. Simulation'!W108-'1. Base'!W108</f>
        <v>0</v>
      </c>
      <c r="X108" s="22">
        <f>'2. Simulation'!X108-'1. Base'!X108</f>
        <v>0</v>
      </c>
      <c r="Y108" s="22">
        <f t="shared" si="14"/>
        <v>0</v>
      </c>
      <c r="Z108" s="42" t="s">
        <v>193</v>
      </c>
    </row>
    <row r="109" spans="2:26" ht="15" customHeight="1" outlineLevel="1" x14ac:dyDescent="0.3">
      <c r="B109" s="35" t="s">
        <v>186</v>
      </c>
      <c r="C109" s="9" t="s">
        <v>92</v>
      </c>
      <c r="D109" s="9" t="s">
        <v>95</v>
      </c>
      <c r="E109" s="22">
        <f>'2. Simulation'!E109-'1. Base'!E109</f>
        <v>0</v>
      </c>
      <c r="F109" s="22">
        <f>'2. Simulation'!F109-'1. Base'!F109</f>
        <v>0</v>
      </c>
      <c r="G109" s="22">
        <f>'2. Simulation'!G109-'1. Base'!G109</f>
        <v>0</v>
      </c>
      <c r="H109" s="22">
        <f>'2. Simulation'!H109-'1. Base'!H109</f>
        <v>0</v>
      </c>
      <c r="I109" s="22">
        <f>'2. Simulation'!I109-'1. Base'!I109</f>
        <v>0</v>
      </c>
      <c r="J109" s="22">
        <f>'2. Simulation'!J109-'1. Base'!J109</f>
        <v>0</v>
      </c>
      <c r="K109" s="22">
        <f>'2. Simulation'!K109-'1. Base'!K109</f>
        <v>0</v>
      </c>
      <c r="L109" s="22">
        <f>'2. Simulation'!L109-'1. Base'!L109</f>
        <v>0</v>
      </c>
      <c r="M109" s="22">
        <f>'2. Simulation'!M109-'1. Base'!M109</f>
        <v>0</v>
      </c>
      <c r="N109" s="22">
        <f>'2. Simulation'!N109-'1. Base'!N109</f>
        <v>0</v>
      </c>
      <c r="O109" s="22">
        <f>'2. Simulation'!O109-'1. Base'!O109</f>
        <v>0</v>
      </c>
      <c r="P109" s="22">
        <f>'2. Simulation'!P109-'1. Base'!P109</f>
        <v>0</v>
      </c>
      <c r="Q109" s="22">
        <f>'2. Simulation'!Q109-'1. Base'!Q109</f>
        <v>0</v>
      </c>
      <c r="R109" s="22">
        <f>'2. Simulation'!R109-'1. Base'!R109</f>
        <v>0</v>
      </c>
      <c r="S109" s="22">
        <f>'2. Simulation'!S109-'1. Base'!S109</f>
        <v>0</v>
      </c>
      <c r="T109" s="22">
        <f>'2. Simulation'!T109-'1. Base'!T109</f>
        <v>0</v>
      </c>
      <c r="U109" s="22">
        <f>'2. Simulation'!U109-'1. Base'!U109</f>
        <v>0</v>
      </c>
      <c r="V109" s="22">
        <f>'2. Simulation'!V109-'1. Base'!V109</f>
        <v>0</v>
      </c>
      <c r="W109" s="22">
        <f>'2. Simulation'!W109-'1. Base'!W109</f>
        <v>0</v>
      </c>
      <c r="X109" s="22">
        <f>'2. Simulation'!X109-'1. Base'!X109</f>
        <v>0</v>
      </c>
      <c r="Y109" s="22">
        <f t="shared" si="14"/>
        <v>0</v>
      </c>
      <c r="Z109" s="42" t="s">
        <v>194</v>
      </c>
    </row>
    <row r="110" spans="2:26" ht="15" customHeight="1" outlineLevel="2" x14ac:dyDescent="0.3">
      <c r="B110" s="35" t="s">
        <v>186</v>
      </c>
      <c r="C110" s="13" t="s">
        <v>96</v>
      </c>
      <c r="D110" s="9" t="s">
        <v>97</v>
      </c>
      <c r="E110" s="22">
        <f>'2. Simulation'!E110-'1. Base'!E110</f>
        <v>1592.6349098124665</v>
      </c>
      <c r="F110" s="22">
        <f>'2. Simulation'!F110-'1. Base'!F110</f>
        <v>0</v>
      </c>
      <c r="G110" s="22">
        <f>'2. Simulation'!G110-'1. Base'!G110</f>
        <v>0</v>
      </c>
      <c r="H110" s="22">
        <f>'2. Simulation'!H110-'1. Base'!H110</f>
        <v>0</v>
      </c>
      <c r="I110" s="22">
        <f>'2. Simulation'!I110-'1. Base'!I110</f>
        <v>0</v>
      </c>
      <c r="J110" s="22">
        <f>'2. Simulation'!J110-'1. Base'!J110</f>
        <v>0</v>
      </c>
      <c r="K110" s="22">
        <f>'2. Simulation'!K110-'1. Base'!K110</f>
        <v>0</v>
      </c>
      <c r="L110" s="22">
        <f>'2. Simulation'!L110-'1. Base'!L110</f>
        <v>0</v>
      </c>
      <c r="M110" s="22">
        <f>'2. Simulation'!M110-'1. Base'!M110</f>
        <v>0</v>
      </c>
      <c r="N110" s="22">
        <f>'2. Simulation'!N110-'1. Base'!N110</f>
        <v>0</v>
      </c>
      <c r="O110" s="22">
        <f>'2. Simulation'!O110-'1. Base'!O110</f>
        <v>0</v>
      </c>
      <c r="P110" s="22">
        <f>'2. Simulation'!P110-'1. Base'!P110</f>
        <v>0</v>
      </c>
      <c r="Q110" s="22">
        <f>'2. Simulation'!Q110-'1. Base'!Q110</f>
        <v>0</v>
      </c>
      <c r="R110" s="22">
        <f>'2. Simulation'!R110-'1. Base'!R110</f>
        <v>0</v>
      </c>
      <c r="S110" s="22">
        <f>'2. Simulation'!S110-'1. Base'!S110</f>
        <v>0</v>
      </c>
      <c r="T110" s="22">
        <f>'2. Simulation'!T110-'1. Base'!T110</f>
        <v>0</v>
      </c>
      <c r="U110" s="22">
        <f>'2. Simulation'!U110-'1. Base'!U110</f>
        <v>0</v>
      </c>
      <c r="V110" s="22">
        <f>'2. Simulation'!V110-'1. Base'!V110</f>
        <v>0</v>
      </c>
      <c r="W110" s="22">
        <f>'2. Simulation'!W110-'1. Base'!W110</f>
        <v>0</v>
      </c>
      <c r="X110" s="22">
        <f>'2. Simulation'!X110-'1. Base'!X110</f>
        <v>0</v>
      </c>
      <c r="Y110" s="22">
        <f t="shared" si="14"/>
        <v>1592.6349098124665</v>
      </c>
      <c r="Z110" s="42" t="s">
        <v>192</v>
      </c>
    </row>
    <row r="111" spans="2:26" ht="15" customHeight="1" outlineLevel="2" x14ac:dyDescent="0.3">
      <c r="B111" s="35" t="s">
        <v>186</v>
      </c>
      <c r="C111" s="13" t="s">
        <v>96</v>
      </c>
      <c r="D111" s="9" t="s">
        <v>98</v>
      </c>
      <c r="E111" s="22">
        <f>'2. Simulation'!E111-'1. Base'!E111</f>
        <v>365.85936410201884</v>
      </c>
      <c r="F111" s="22">
        <f>'2. Simulation'!F111-'1. Base'!F111</f>
        <v>0</v>
      </c>
      <c r="G111" s="22">
        <f>'2. Simulation'!G111-'1. Base'!G111</f>
        <v>0</v>
      </c>
      <c r="H111" s="22">
        <f>'2. Simulation'!H111-'1. Base'!H111</f>
        <v>0</v>
      </c>
      <c r="I111" s="22">
        <f>'2. Simulation'!I111-'1. Base'!I111</f>
        <v>0</v>
      </c>
      <c r="J111" s="22">
        <f>'2. Simulation'!J111-'1. Base'!J111</f>
        <v>0</v>
      </c>
      <c r="K111" s="22">
        <f>'2. Simulation'!K111-'1. Base'!K111</f>
        <v>0</v>
      </c>
      <c r="L111" s="22">
        <f>'2. Simulation'!L111-'1. Base'!L111</f>
        <v>0</v>
      </c>
      <c r="M111" s="22">
        <f>'2. Simulation'!M111-'1. Base'!M111</f>
        <v>0</v>
      </c>
      <c r="N111" s="22">
        <f>'2. Simulation'!N111-'1. Base'!N111</f>
        <v>0</v>
      </c>
      <c r="O111" s="22">
        <f>'2. Simulation'!O111-'1. Base'!O111</f>
        <v>0</v>
      </c>
      <c r="P111" s="22">
        <f>'2. Simulation'!P111-'1. Base'!P111</f>
        <v>0</v>
      </c>
      <c r="Q111" s="22">
        <f>'2. Simulation'!Q111-'1. Base'!Q111</f>
        <v>0</v>
      </c>
      <c r="R111" s="22">
        <f>'2. Simulation'!R111-'1. Base'!R111</f>
        <v>0</v>
      </c>
      <c r="S111" s="22">
        <f>'2. Simulation'!S111-'1. Base'!S111</f>
        <v>0</v>
      </c>
      <c r="T111" s="22">
        <f>'2. Simulation'!T111-'1. Base'!T111</f>
        <v>0</v>
      </c>
      <c r="U111" s="22">
        <f>'2. Simulation'!U111-'1. Base'!U111</f>
        <v>0</v>
      </c>
      <c r="V111" s="22">
        <f>'2. Simulation'!V111-'1. Base'!V111</f>
        <v>0</v>
      </c>
      <c r="W111" s="22">
        <f>'2. Simulation'!W111-'1. Base'!W111</f>
        <v>0</v>
      </c>
      <c r="X111" s="22">
        <f>'2. Simulation'!X111-'1. Base'!X111</f>
        <v>0</v>
      </c>
      <c r="Y111" s="22">
        <f t="shared" si="14"/>
        <v>365.85936410201884</v>
      </c>
      <c r="Z111" s="42" t="s">
        <v>193</v>
      </c>
    </row>
    <row r="112" spans="2:26" ht="15" customHeight="1" outlineLevel="2" x14ac:dyDescent="0.3">
      <c r="B112" s="35" t="s">
        <v>186</v>
      </c>
      <c r="C112" s="13" t="s">
        <v>96</v>
      </c>
      <c r="D112" s="9" t="s">
        <v>99</v>
      </c>
      <c r="E112" s="22">
        <f>'2. Simulation'!E112-'1. Base'!E112</f>
        <v>578.78176529568373</v>
      </c>
      <c r="F112" s="22">
        <f>'2. Simulation'!F112-'1. Base'!F112</f>
        <v>0</v>
      </c>
      <c r="G112" s="22">
        <f>'2. Simulation'!G112-'1. Base'!G112</f>
        <v>0</v>
      </c>
      <c r="H112" s="22">
        <f>'2. Simulation'!H112-'1. Base'!H112</f>
        <v>0</v>
      </c>
      <c r="I112" s="22">
        <f>'2. Simulation'!I112-'1. Base'!I112</f>
        <v>0</v>
      </c>
      <c r="J112" s="22">
        <f>'2. Simulation'!J112-'1. Base'!J112</f>
        <v>0</v>
      </c>
      <c r="K112" s="22">
        <f>'2. Simulation'!K112-'1. Base'!K112</f>
        <v>0</v>
      </c>
      <c r="L112" s="22">
        <f>'2. Simulation'!L112-'1. Base'!L112</f>
        <v>0</v>
      </c>
      <c r="M112" s="22">
        <f>'2. Simulation'!M112-'1. Base'!M112</f>
        <v>0</v>
      </c>
      <c r="N112" s="22">
        <f>'2. Simulation'!N112-'1. Base'!N112</f>
        <v>0</v>
      </c>
      <c r="O112" s="22">
        <f>'2. Simulation'!O112-'1. Base'!O112</f>
        <v>0</v>
      </c>
      <c r="P112" s="22">
        <f>'2. Simulation'!P112-'1. Base'!P112</f>
        <v>0</v>
      </c>
      <c r="Q112" s="22">
        <f>'2. Simulation'!Q112-'1. Base'!Q112</f>
        <v>0</v>
      </c>
      <c r="R112" s="22">
        <f>'2. Simulation'!R112-'1. Base'!R112</f>
        <v>0</v>
      </c>
      <c r="S112" s="22">
        <f>'2. Simulation'!S112-'1. Base'!S112</f>
        <v>0</v>
      </c>
      <c r="T112" s="22">
        <f>'2. Simulation'!T112-'1. Base'!T112</f>
        <v>0</v>
      </c>
      <c r="U112" s="22">
        <f>'2. Simulation'!U112-'1. Base'!U112</f>
        <v>0</v>
      </c>
      <c r="V112" s="22">
        <f>'2. Simulation'!V112-'1. Base'!V112</f>
        <v>0</v>
      </c>
      <c r="W112" s="22">
        <f>'2. Simulation'!W112-'1. Base'!W112</f>
        <v>0</v>
      </c>
      <c r="X112" s="22">
        <f>'2. Simulation'!X112-'1. Base'!X112</f>
        <v>0</v>
      </c>
      <c r="Y112" s="22">
        <f t="shared" si="14"/>
        <v>578.78176529568373</v>
      </c>
      <c r="Z112" s="42" t="s">
        <v>194</v>
      </c>
    </row>
    <row r="113" spans="2:26" ht="15" customHeight="1" outlineLevel="2" x14ac:dyDescent="0.3">
      <c r="B113" s="35" t="s">
        <v>186</v>
      </c>
      <c r="C113" s="13" t="s">
        <v>96</v>
      </c>
      <c r="D113" s="13" t="s">
        <v>100</v>
      </c>
      <c r="E113" s="22">
        <f>'2. Simulation'!E113-'1. Base'!E113</f>
        <v>1341.1662398420758</v>
      </c>
      <c r="F113" s="22">
        <f>'2. Simulation'!F113-'1. Base'!F113</f>
        <v>0</v>
      </c>
      <c r="G113" s="22">
        <f>'2. Simulation'!G113-'1. Base'!G113</f>
        <v>0</v>
      </c>
      <c r="H113" s="22">
        <f>'2. Simulation'!H113-'1. Base'!H113</f>
        <v>0</v>
      </c>
      <c r="I113" s="22">
        <f>'2. Simulation'!I113-'1. Base'!I113</f>
        <v>0</v>
      </c>
      <c r="J113" s="22">
        <f>'2. Simulation'!J113-'1. Base'!J113</f>
        <v>0</v>
      </c>
      <c r="K113" s="22">
        <f>'2. Simulation'!K113-'1. Base'!K113</f>
        <v>0</v>
      </c>
      <c r="L113" s="22">
        <f>'2. Simulation'!L113-'1. Base'!L113</f>
        <v>0</v>
      </c>
      <c r="M113" s="22">
        <f>'2. Simulation'!M113-'1. Base'!M113</f>
        <v>0</v>
      </c>
      <c r="N113" s="22">
        <f>'2. Simulation'!N113-'1. Base'!N113</f>
        <v>0</v>
      </c>
      <c r="O113" s="22">
        <f>'2. Simulation'!O113-'1. Base'!O113</f>
        <v>0</v>
      </c>
      <c r="P113" s="22">
        <f>'2. Simulation'!P113-'1. Base'!P113</f>
        <v>0</v>
      </c>
      <c r="Q113" s="22">
        <f>'2. Simulation'!Q113-'1. Base'!Q113</f>
        <v>0</v>
      </c>
      <c r="R113" s="22">
        <f>'2. Simulation'!R113-'1. Base'!R113</f>
        <v>0</v>
      </c>
      <c r="S113" s="22">
        <f>'2. Simulation'!S113-'1. Base'!S113</f>
        <v>0</v>
      </c>
      <c r="T113" s="22">
        <f>'2. Simulation'!T113-'1. Base'!T113</f>
        <v>0</v>
      </c>
      <c r="U113" s="22">
        <f>'2. Simulation'!U113-'1. Base'!U113</f>
        <v>0</v>
      </c>
      <c r="V113" s="22">
        <f>'2. Simulation'!V113-'1. Base'!V113</f>
        <v>0</v>
      </c>
      <c r="W113" s="22">
        <f>'2. Simulation'!W113-'1. Base'!W113</f>
        <v>0</v>
      </c>
      <c r="X113" s="22">
        <f>'2. Simulation'!X113-'1. Base'!X113</f>
        <v>0</v>
      </c>
      <c r="Y113" s="22">
        <f t="shared" si="14"/>
        <v>1341.1662398420758</v>
      </c>
      <c r="Z113" s="42" t="s">
        <v>192</v>
      </c>
    </row>
    <row r="114" spans="2:26" ht="15" customHeight="1" outlineLevel="2" x14ac:dyDescent="0.3">
      <c r="B114" s="35" t="s">
        <v>186</v>
      </c>
      <c r="C114" s="13" t="s">
        <v>96</v>
      </c>
      <c r="D114" s="13" t="s">
        <v>101</v>
      </c>
      <c r="E114" s="22">
        <f>'2. Simulation'!E114-'1. Base'!E114</f>
        <v>308.09209608591118</v>
      </c>
      <c r="F114" s="22">
        <f>'2. Simulation'!F114-'1. Base'!F114</f>
        <v>0</v>
      </c>
      <c r="G114" s="22">
        <f>'2. Simulation'!G114-'1. Base'!G114</f>
        <v>0</v>
      </c>
      <c r="H114" s="22">
        <f>'2. Simulation'!H114-'1. Base'!H114</f>
        <v>0</v>
      </c>
      <c r="I114" s="22">
        <f>'2. Simulation'!I114-'1. Base'!I114</f>
        <v>0</v>
      </c>
      <c r="J114" s="22">
        <f>'2. Simulation'!J114-'1. Base'!J114</f>
        <v>0</v>
      </c>
      <c r="K114" s="22">
        <f>'2. Simulation'!K114-'1. Base'!K114</f>
        <v>0</v>
      </c>
      <c r="L114" s="22">
        <f>'2. Simulation'!L114-'1. Base'!L114</f>
        <v>0</v>
      </c>
      <c r="M114" s="22">
        <f>'2. Simulation'!M114-'1. Base'!M114</f>
        <v>0</v>
      </c>
      <c r="N114" s="22">
        <f>'2. Simulation'!N114-'1. Base'!N114</f>
        <v>0</v>
      </c>
      <c r="O114" s="22">
        <f>'2. Simulation'!O114-'1. Base'!O114</f>
        <v>0</v>
      </c>
      <c r="P114" s="22">
        <f>'2. Simulation'!P114-'1. Base'!P114</f>
        <v>0</v>
      </c>
      <c r="Q114" s="22">
        <f>'2. Simulation'!Q114-'1. Base'!Q114</f>
        <v>0</v>
      </c>
      <c r="R114" s="22">
        <f>'2. Simulation'!R114-'1. Base'!R114</f>
        <v>0</v>
      </c>
      <c r="S114" s="22">
        <f>'2. Simulation'!S114-'1. Base'!S114</f>
        <v>0</v>
      </c>
      <c r="T114" s="22">
        <f>'2. Simulation'!T114-'1. Base'!T114</f>
        <v>0</v>
      </c>
      <c r="U114" s="22">
        <f>'2. Simulation'!U114-'1. Base'!U114</f>
        <v>0</v>
      </c>
      <c r="V114" s="22">
        <f>'2. Simulation'!V114-'1. Base'!V114</f>
        <v>0</v>
      </c>
      <c r="W114" s="22">
        <f>'2. Simulation'!W114-'1. Base'!W114</f>
        <v>0</v>
      </c>
      <c r="X114" s="22">
        <f>'2. Simulation'!X114-'1. Base'!X114</f>
        <v>0</v>
      </c>
      <c r="Y114" s="22">
        <f t="shared" si="14"/>
        <v>308.09209608591118</v>
      </c>
      <c r="Z114" s="42" t="s">
        <v>193</v>
      </c>
    </row>
    <row r="115" spans="2:26" ht="15" customHeight="1" outlineLevel="2" x14ac:dyDescent="0.3">
      <c r="B115" s="35" t="s">
        <v>186</v>
      </c>
      <c r="C115" s="13" t="s">
        <v>96</v>
      </c>
      <c r="D115" s="13" t="s">
        <v>102</v>
      </c>
      <c r="E115" s="22">
        <f>'2. Simulation'!E115-'1. Base'!E115</f>
        <v>487.39517077531218</v>
      </c>
      <c r="F115" s="22">
        <f>'2. Simulation'!F115-'1. Base'!F115</f>
        <v>0</v>
      </c>
      <c r="G115" s="22">
        <f>'2. Simulation'!G115-'1. Base'!G115</f>
        <v>0</v>
      </c>
      <c r="H115" s="22">
        <f>'2. Simulation'!H115-'1. Base'!H115</f>
        <v>0</v>
      </c>
      <c r="I115" s="22">
        <f>'2. Simulation'!I115-'1. Base'!I115</f>
        <v>0</v>
      </c>
      <c r="J115" s="22">
        <f>'2. Simulation'!J115-'1. Base'!J115</f>
        <v>0</v>
      </c>
      <c r="K115" s="22">
        <f>'2. Simulation'!K115-'1. Base'!K115</f>
        <v>0</v>
      </c>
      <c r="L115" s="22">
        <f>'2. Simulation'!L115-'1. Base'!L115</f>
        <v>0</v>
      </c>
      <c r="M115" s="22">
        <f>'2. Simulation'!M115-'1. Base'!M115</f>
        <v>0</v>
      </c>
      <c r="N115" s="22">
        <f>'2. Simulation'!N115-'1. Base'!N115</f>
        <v>0</v>
      </c>
      <c r="O115" s="22">
        <f>'2. Simulation'!O115-'1. Base'!O115</f>
        <v>0</v>
      </c>
      <c r="P115" s="22">
        <f>'2. Simulation'!P115-'1. Base'!P115</f>
        <v>0</v>
      </c>
      <c r="Q115" s="22">
        <f>'2. Simulation'!Q115-'1. Base'!Q115</f>
        <v>0</v>
      </c>
      <c r="R115" s="22">
        <f>'2. Simulation'!R115-'1. Base'!R115</f>
        <v>0</v>
      </c>
      <c r="S115" s="22">
        <f>'2. Simulation'!S115-'1. Base'!S115</f>
        <v>0</v>
      </c>
      <c r="T115" s="22">
        <f>'2. Simulation'!T115-'1. Base'!T115</f>
        <v>0</v>
      </c>
      <c r="U115" s="22">
        <f>'2. Simulation'!U115-'1. Base'!U115</f>
        <v>0</v>
      </c>
      <c r="V115" s="22">
        <f>'2. Simulation'!V115-'1. Base'!V115</f>
        <v>0</v>
      </c>
      <c r="W115" s="22">
        <f>'2. Simulation'!W115-'1. Base'!W115</f>
        <v>0</v>
      </c>
      <c r="X115" s="22">
        <f>'2. Simulation'!X115-'1. Base'!X115</f>
        <v>0</v>
      </c>
      <c r="Y115" s="22">
        <f t="shared" si="14"/>
        <v>487.39517077531218</v>
      </c>
      <c r="Z115" s="42" t="s">
        <v>194</v>
      </c>
    </row>
    <row r="116" spans="2:26" ht="15" customHeight="1" outlineLevel="2" x14ac:dyDescent="0.3">
      <c r="B116" s="35" t="s">
        <v>186</v>
      </c>
      <c r="C116" s="13" t="s">
        <v>96</v>
      </c>
      <c r="D116" s="9" t="s">
        <v>103</v>
      </c>
      <c r="E116" s="22">
        <f>'2. Simulation'!E116-'1. Base'!E116</f>
        <v>812.32528462552182</v>
      </c>
      <c r="F116" s="22">
        <f>'2. Simulation'!F116-'1. Base'!F116</f>
        <v>0</v>
      </c>
      <c r="G116" s="22">
        <f>'2. Simulation'!G116-'1. Base'!G116</f>
        <v>0</v>
      </c>
      <c r="H116" s="22">
        <f>'2. Simulation'!H116-'1. Base'!H116</f>
        <v>0</v>
      </c>
      <c r="I116" s="22">
        <f>'2. Simulation'!I116-'1. Base'!I116</f>
        <v>0</v>
      </c>
      <c r="J116" s="22">
        <f>'2. Simulation'!J116-'1. Base'!J116</f>
        <v>0</v>
      </c>
      <c r="K116" s="22">
        <f>'2. Simulation'!K116-'1. Base'!K116</f>
        <v>0</v>
      </c>
      <c r="L116" s="22">
        <f>'2. Simulation'!L116-'1. Base'!L116</f>
        <v>0</v>
      </c>
      <c r="M116" s="22">
        <f>'2. Simulation'!M116-'1. Base'!M116</f>
        <v>0</v>
      </c>
      <c r="N116" s="22">
        <f>'2. Simulation'!N116-'1. Base'!N116</f>
        <v>0</v>
      </c>
      <c r="O116" s="22">
        <f>'2. Simulation'!O116-'1. Base'!O116</f>
        <v>0</v>
      </c>
      <c r="P116" s="22">
        <f>'2. Simulation'!P116-'1. Base'!P116</f>
        <v>0</v>
      </c>
      <c r="Q116" s="22">
        <f>'2. Simulation'!Q116-'1. Base'!Q116</f>
        <v>0</v>
      </c>
      <c r="R116" s="22">
        <f>'2. Simulation'!R116-'1. Base'!R116</f>
        <v>0</v>
      </c>
      <c r="S116" s="22">
        <f>'2. Simulation'!S116-'1. Base'!S116</f>
        <v>0</v>
      </c>
      <c r="T116" s="22">
        <f>'2. Simulation'!T116-'1. Base'!T116</f>
        <v>0</v>
      </c>
      <c r="U116" s="22">
        <f>'2. Simulation'!U116-'1. Base'!U116</f>
        <v>0</v>
      </c>
      <c r="V116" s="22">
        <f>'2. Simulation'!V116-'1. Base'!V116</f>
        <v>0</v>
      </c>
      <c r="W116" s="22">
        <f>'2. Simulation'!W116-'1. Base'!W116</f>
        <v>0</v>
      </c>
      <c r="X116" s="22">
        <f>'2. Simulation'!X116-'1. Base'!X116</f>
        <v>0</v>
      </c>
      <c r="Y116" s="22">
        <f t="shared" si="14"/>
        <v>812.32528462552182</v>
      </c>
      <c r="Z116" s="42" t="s">
        <v>194</v>
      </c>
    </row>
    <row r="117" spans="2:26" ht="15" customHeight="1" outlineLevel="2" x14ac:dyDescent="0.3">
      <c r="B117" s="35" t="s">
        <v>186</v>
      </c>
      <c r="C117" s="13" t="s">
        <v>96</v>
      </c>
      <c r="D117" s="9" t="s">
        <v>104</v>
      </c>
      <c r="E117" s="22">
        <f>'2. Simulation'!E117-'1. Base'!E117</f>
        <v>1341.1662398420758</v>
      </c>
      <c r="F117" s="22">
        <f>'2. Simulation'!F117-'1. Base'!F117</f>
        <v>0</v>
      </c>
      <c r="G117" s="22">
        <f>'2. Simulation'!G117-'1. Base'!G117</f>
        <v>0</v>
      </c>
      <c r="H117" s="22">
        <f>'2. Simulation'!H117-'1. Base'!H117</f>
        <v>0</v>
      </c>
      <c r="I117" s="22">
        <f>'2. Simulation'!I117-'1. Base'!I117</f>
        <v>0</v>
      </c>
      <c r="J117" s="22">
        <f>'2. Simulation'!J117-'1. Base'!J117</f>
        <v>0</v>
      </c>
      <c r="K117" s="22">
        <f>'2. Simulation'!K117-'1. Base'!K117</f>
        <v>0</v>
      </c>
      <c r="L117" s="22">
        <f>'2. Simulation'!L117-'1. Base'!L117</f>
        <v>0</v>
      </c>
      <c r="M117" s="22">
        <f>'2. Simulation'!M117-'1. Base'!M117</f>
        <v>0</v>
      </c>
      <c r="N117" s="22">
        <f>'2. Simulation'!N117-'1. Base'!N117</f>
        <v>0</v>
      </c>
      <c r="O117" s="22">
        <f>'2. Simulation'!O117-'1. Base'!O117</f>
        <v>0</v>
      </c>
      <c r="P117" s="22">
        <f>'2. Simulation'!P117-'1. Base'!P117</f>
        <v>0</v>
      </c>
      <c r="Q117" s="22">
        <f>'2. Simulation'!Q117-'1. Base'!Q117</f>
        <v>0</v>
      </c>
      <c r="R117" s="22">
        <f>'2. Simulation'!R117-'1. Base'!R117</f>
        <v>0</v>
      </c>
      <c r="S117" s="22">
        <f>'2. Simulation'!S117-'1. Base'!S117</f>
        <v>0</v>
      </c>
      <c r="T117" s="22">
        <f>'2. Simulation'!T117-'1. Base'!T117</f>
        <v>0</v>
      </c>
      <c r="U117" s="22">
        <f>'2. Simulation'!U117-'1. Base'!U117</f>
        <v>0</v>
      </c>
      <c r="V117" s="22">
        <f>'2. Simulation'!V117-'1. Base'!V117</f>
        <v>0</v>
      </c>
      <c r="W117" s="22">
        <f>'2. Simulation'!W117-'1. Base'!W117</f>
        <v>0</v>
      </c>
      <c r="X117" s="22">
        <f>'2. Simulation'!X117-'1. Base'!X117</f>
        <v>0</v>
      </c>
      <c r="Y117" s="22">
        <f t="shared" si="14"/>
        <v>1341.1662398420758</v>
      </c>
      <c r="Z117" s="42" t="s">
        <v>192</v>
      </c>
    </row>
    <row r="118" spans="2:26" ht="15" customHeight="1" outlineLevel="2" x14ac:dyDescent="0.3">
      <c r="B118" s="35" t="s">
        <v>186</v>
      </c>
      <c r="C118" s="13" t="s">
        <v>96</v>
      </c>
      <c r="D118" s="9" t="s">
        <v>105</v>
      </c>
      <c r="E118" s="22">
        <f>'2. Simulation'!E118-'1. Base'!E118</f>
        <v>308.09209608591118</v>
      </c>
      <c r="F118" s="22">
        <f>'2. Simulation'!F118-'1. Base'!F118</f>
        <v>0</v>
      </c>
      <c r="G118" s="22">
        <f>'2. Simulation'!G118-'1. Base'!G118</f>
        <v>0</v>
      </c>
      <c r="H118" s="22">
        <f>'2. Simulation'!H118-'1. Base'!H118</f>
        <v>0</v>
      </c>
      <c r="I118" s="22">
        <f>'2. Simulation'!I118-'1. Base'!I118</f>
        <v>0</v>
      </c>
      <c r="J118" s="22">
        <f>'2. Simulation'!J118-'1. Base'!J118</f>
        <v>0</v>
      </c>
      <c r="K118" s="22">
        <f>'2. Simulation'!K118-'1. Base'!K118</f>
        <v>0</v>
      </c>
      <c r="L118" s="22">
        <f>'2. Simulation'!L118-'1. Base'!L118</f>
        <v>0</v>
      </c>
      <c r="M118" s="22">
        <f>'2. Simulation'!M118-'1. Base'!M118</f>
        <v>0</v>
      </c>
      <c r="N118" s="22">
        <f>'2. Simulation'!N118-'1. Base'!N118</f>
        <v>0</v>
      </c>
      <c r="O118" s="22">
        <f>'2. Simulation'!O118-'1. Base'!O118</f>
        <v>0</v>
      </c>
      <c r="P118" s="22">
        <f>'2. Simulation'!P118-'1. Base'!P118</f>
        <v>0</v>
      </c>
      <c r="Q118" s="22">
        <f>'2. Simulation'!Q118-'1. Base'!Q118</f>
        <v>0</v>
      </c>
      <c r="R118" s="22">
        <f>'2. Simulation'!R118-'1. Base'!R118</f>
        <v>0</v>
      </c>
      <c r="S118" s="22">
        <f>'2. Simulation'!S118-'1. Base'!S118</f>
        <v>0</v>
      </c>
      <c r="T118" s="22">
        <f>'2. Simulation'!T118-'1. Base'!T118</f>
        <v>0</v>
      </c>
      <c r="U118" s="22">
        <f>'2. Simulation'!U118-'1. Base'!U118</f>
        <v>0</v>
      </c>
      <c r="V118" s="22">
        <f>'2. Simulation'!V118-'1. Base'!V118</f>
        <v>0</v>
      </c>
      <c r="W118" s="22">
        <f>'2. Simulation'!W118-'1. Base'!W118</f>
        <v>0</v>
      </c>
      <c r="X118" s="22">
        <f>'2. Simulation'!X118-'1. Base'!X118</f>
        <v>0</v>
      </c>
      <c r="Y118" s="22">
        <f t="shared" si="14"/>
        <v>308.09209608591118</v>
      </c>
      <c r="Z118" s="42" t="s">
        <v>193</v>
      </c>
    </row>
    <row r="119" spans="2:26" ht="15" customHeight="1" outlineLevel="2" x14ac:dyDescent="0.3">
      <c r="B119" s="35" t="s">
        <v>186</v>
      </c>
      <c r="C119" s="13" t="s">
        <v>96</v>
      </c>
      <c r="D119" s="9" t="s">
        <v>106</v>
      </c>
      <c r="E119" s="22">
        <f>'2. Simulation'!E119-'1. Base'!E119</f>
        <v>487.39517077531218</v>
      </c>
      <c r="F119" s="22">
        <f>'2. Simulation'!F119-'1. Base'!F119</f>
        <v>0</v>
      </c>
      <c r="G119" s="22">
        <f>'2. Simulation'!G119-'1. Base'!G119</f>
        <v>0</v>
      </c>
      <c r="H119" s="22">
        <f>'2. Simulation'!H119-'1. Base'!H119</f>
        <v>0</v>
      </c>
      <c r="I119" s="22">
        <f>'2. Simulation'!I119-'1. Base'!I119</f>
        <v>0</v>
      </c>
      <c r="J119" s="22">
        <f>'2. Simulation'!J119-'1. Base'!J119</f>
        <v>0</v>
      </c>
      <c r="K119" s="22">
        <f>'2. Simulation'!K119-'1. Base'!K119</f>
        <v>0</v>
      </c>
      <c r="L119" s="22">
        <f>'2. Simulation'!L119-'1. Base'!L119</f>
        <v>0</v>
      </c>
      <c r="M119" s="22">
        <f>'2. Simulation'!M119-'1. Base'!M119</f>
        <v>0</v>
      </c>
      <c r="N119" s="22">
        <f>'2. Simulation'!N119-'1. Base'!N119</f>
        <v>0</v>
      </c>
      <c r="O119" s="22">
        <f>'2. Simulation'!O119-'1. Base'!O119</f>
        <v>0</v>
      </c>
      <c r="P119" s="22">
        <f>'2. Simulation'!P119-'1. Base'!P119</f>
        <v>0</v>
      </c>
      <c r="Q119" s="22">
        <f>'2. Simulation'!Q119-'1. Base'!Q119</f>
        <v>0</v>
      </c>
      <c r="R119" s="22">
        <f>'2. Simulation'!R119-'1. Base'!R119</f>
        <v>0</v>
      </c>
      <c r="S119" s="22">
        <f>'2. Simulation'!S119-'1. Base'!S119</f>
        <v>0</v>
      </c>
      <c r="T119" s="22">
        <f>'2. Simulation'!T119-'1. Base'!T119</f>
        <v>0</v>
      </c>
      <c r="U119" s="22">
        <f>'2. Simulation'!U119-'1. Base'!U119</f>
        <v>0</v>
      </c>
      <c r="V119" s="22">
        <f>'2. Simulation'!V119-'1. Base'!V119</f>
        <v>0</v>
      </c>
      <c r="W119" s="22">
        <f>'2. Simulation'!W119-'1. Base'!W119</f>
        <v>0</v>
      </c>
      <c r="X119" s="22">
        <f>'2. Simulation'!X119-'1. Base'!X119</f>
        <v>0</v>
      </c>
      <c r="Y119" s="22">
        <f t="shared" si="14"/>
        <v>487.39517077531218</v>
      </c>
      <c r="Z119" s="42" t="s">
        <v>194</v>
      </c>
    </row>
    <row r="120" spans="2:26" ht="15" customHeight="1" outlineLevel="2" x14ac:dyDescent="0.3">
      <c r="B120" s="35" t="s">
        <v>186</v>
      </c>
      <c r="C120" s="13" t="s">
        <v>96</v>
      </c>
      <c r="D120" s="9" t="s">
        <v>107</v>
      </c>
      <c r="E120" s="22">
        <f>'2. Simulation'!E120-'1. Base'!E120</f>
        <v>1089.6975698716888</v>
      </c>
      <c r="F120" s="22">
        <f>'2. Simulation'!F120-'1. Base'!F120</f>
        <v>0</v>
      </c>
      <c r="G120" s="22">
        <f>'2. Simulation'!G120-'1. Base'!G120</f>
        <v>0</v>
      </c>
      <c r="H120" s="22">
        <f>'2. Simulation'!H120-'1. Base'!H120</f>
        <v>0</v>
      </c>
      <c r="I120" s="22">
        <f>'2. Simulation'!I120-'1. Base'!I120</f>
        <v>0</v>
      </c>
      <c r="J120" s="22">
        <f>'2. Simulation'!J120-'1. Base'!J120</f>
        <v>0</v>
      </c>
      <c r="K120" s="22">
        <f>'2. Simulation'!K120-'1. Base'!K120</f>
        <v>0</v>
      </c>
      <c r="L120" s="22">
        <f>'2. Simulation'!L120-'1. Base'!L120</f>
        <v>0</v>
      </c>
      <c r="M120" s="22">
        <f>'2. Simulation'!M120-'1. Base'!M120</f>
        <v>0</v>
      </c>
      <c r="N120" s="22">
        <f>'2. Simulation'!N120-'1. Base'!N120</f>
        <v>0</v>
      </c>
      <c r="O120" s="22">
        <f>'2. Simulation'!O120-'1. Base'!O120</f>
        <v>0</v>
      </c>
      <c r="P120" s="22">
        <f>'2. Simulation'!P120-'1. Base'!P120</f>
        <v>0</v>
      </c>
      <c r="Q120" s="22">
        <f>'2. Simulation'!Q120-'1. Base'!Q120</f>
        <v>0</v>
      </c>
      <c r="R120" s="22">
        <f>'2. Simulation'!R120-'1. Base'!R120</f>
        <v>0</v>
      </c>
      <c r="S120" s="22">
        <f>'2. Simulation'!S120-'1. Base'!S120</f>
        <v>0</v>
      </c>
      <c r="T120" s="22">
        <f>'2. Simulation'!T120-'1. Base'!T120</f>
        <v>0</v>
      </c>
      <c r="U120" s="22">
        <f>'2. Simulation'!U120-'1. Base'!U120</f>
        <v>0</v>
      </c>
      <c r="V120" s="22">
        <f>'2. Simulation'!V120-'1. Base'!V120</f>
        <v>0</v>
      </c>
      <c r="W120" s="22">
        <f>'2. Simulation'!W120-'1. Base'!W120</f>
        <v>0</v>
      </c>
      <c r="X120" s="22">
        <f>'2. Simulation'!X120-'1. Base'!X120</f>
        <v>0</v>
      </c>
      <c r="Y120" s="22">
        <f t="shared" si="14"/>
        <v>1089.6975698716888</v>
      </c>
      <c r="Z120" s="42" t="s">
        <v>192</v>
      </c>
    </row>
    <row r="121" spans="2:26" ht="15" customHeight="1" outlineLevel="2" x14ac:dyDescent="0.3">
      <c r="B121" s="35" t="s">
        <v>186</v>
      </c>
      <c r="C121" s="13" t="s">
        <v>96</v>
      </c>
      <c r="D121" s="9" t="s">
        <v>108</v>
      </c>
      <c r="E121" s="22">
        <f>'2. Simulation'!E121-'1. Base'!E121</f>
        <v>250.32482806980306</v>
      </c>
      <c r="F121" s="22">
        <f>'2. Simulation'!F121-'1. Base'!F121</f>
        <v>0</v>
      </c>
      <c r="G121" s="22">
        <f>'2. Simulation'!G121-'1. Base'!G121</f>
        <v>0</v>
      </c>
      <c r="H121" s="22">
        <f>'2. Simulation'!H121-'1. Base'!H121</f>
        <v>0</v>
      </c>
      <c r="I121" s="22">
        <f>'2. Simulation'!I121-'1. Base'!I121</f>
        <v>0</v>
      </c>
      <c r="J121" s="22">
        <f>'2. Simulation'!J121-'1. Base'!J121</f>
        <v>0</v>
      </c>
      <c r="K121" s="22">
        <f>'2. Simulation'!K121-'1. Base'!K121</f>
        <v>0</v>
      </c>
      <c r="L121" s="22">
        <f>'2. Simulation'!L121-'1. Base'!L121</f>
        <v>0</v>
      </c>
      <c r="M121" s="22">
        <f>'2. Simulation'!M121-'1. Base'!M121</f>
        <v>0</v>
      </c>
      <c r="N121" s="22">
        <f>'2. Simulation'!N121-'1. Base'!N121</f>
        <v>0</v>
      </c>
      <c r="O121" s="22">
        <f>'2. Simulation'!O121-'1. Base'!O121</f>
        <v>0</v>
      </c>
      <c r="P121" s="22">
        <f>'2. Simulation'!P121-'1. Base'!P121</f>
        <v>0</v>
      </c>
      <c r="Q121" s="22">
        <f>'2. Simulation'!Q121-'1. Base'!Q121</f>
        <v>0</v>
      </c>
      <c r="R121" s="22">
        <f>'2. Simulation'!R121-'1. Base'!R121</f>
        <v>0</v>
      </c>
      <c r="S121" s="22">
        <f>'2. Simulation'!S121-'1. Base'!S121</f>
        <v>0</v>
      </c>
      <c r="T121" s="22">
        <f>'2. Simulation'!T121-'1. Base'!T121</f>
        <v>0</v>
      </c>
      <c r="U121" s="22">
        <f>'2. Simulation'!U121-'1. Base'!U121</f>
        <v>0</v>
      </c>
      <c r="V121" s="22">
        <f>'2. Simulation'!V121-'1. Base'!V121</f>
        <v>0</v>
      </c>
      <c r="W121" s="22">
        <f>'2. Simulation'!W121-'1. Base'!W121</f>
        <v>0</v>
      </c>
      <c r="X121" s="22">
        <f>'2. Simulation'!X121-'1. Base'!X121</f>
        <v>0</v>
      </c>
      <c r="Y121" s="22">
        <f t="shared" si="14"/>
        <v>250.32482806980306</v>
      </c>
      <c r="Z121" s="42" t="s">
        <v>193</v>
      </c>
    </row>
    <row r="122" spans="2:26" ht="15" customHeight="1" outlineLevel="2" x14ac:dyDescent="0.3">
      <c r="B122" s="35" t="s">
        <v>186</v>
      </c>
      <c r="C122" s="13" t="s">
        <v>96</v>
      </c>
      <c r="D122" s="9" t="s">
        <v>109</v>
      </c>
      <c r="E122" s="22">
        <f>'2. Simulation'!E122-'1. Base'!E122</f>
        <v>396.00857625494245</v>
      </c>
      <c r="F122" s="22">
        <f>'2. Simulation'!F122-'1. Base'!F122</f>
        <v>0</v>
      </c>
      <c r="G122" s="22">
        <f>'2. Simulation'!G122-'1. Base'!G122</f>
        <v>0</v>
      </c>
      <c r="H122" s="22">
        <f>'2. Simulation'!H122-'1. Base'!H122</f>
        <v>0</v>
      </c>
      <c r="I122" s="22">
        <f>'2. Simulation'!I122-'1. Base'!I122</f>
        <v>0</v>
      </c>
      <c r="J122" s="22">
        <f>'2. Simulation'!J122-'1. Base'!J122</f>
        <v>0</v>
      </c>
      <c r="K122" s="22">
        <f>'2. Simulation'!K122-'1. Base'!K122</f>
        <v>0</v>
      </c>
      <c r="L122" s="22">
        <f>'2. Simulation'!L122-'1. Base'!L122</f>
        <v>0</v>
      </c>
      <c r="M122" s="22">
        <f>'2. Simulation'!M122-'1. Base'!M122</f>
        <v>0</v>
      </c>
      <c r="N122" s="22">
        <f>'2. Simulation'!N122-'1. Base'!N122</f>
        <v>0</v>
      </c>
      <c r="O122" s="22">
        <f>'2. Simulation'!O122-'1. Base'!O122</f>
        <v>0</v>
      </c>
      <c r="P122" s="22">
        <f>'2. Simulation'!P122-'1. Base'!P122</f>
        <v>0</v>
      </c>
      <c r="Q122" s="22">
        <f>'2. Simulation'!Q122-'1. Base'!Q122</f>
        <v>0</v>
      </c>
      <c r="R122" s="22">
        <f>'2. Simulation'!R122-'1. Base'!R122</f>
        <v>0</v>
      </c>
      <c r="S122" s="22">
        <f>'2. Simulation'!S122-'1. Base'!S122</f>
        <v>0</v>
      </c>
      <c r="T122" s="22">
        <f>'2. Simulation'!T122-'1. Base'!T122</f>
        <v>0</v>
      </c>
      <c r="U122" s="22">
        <f>'2. Simulation'!U122-'1. Base'!U122</f>
        <v>0</v>
      </c>
      <c r="V122" s="22">
        <f>'2. Simulation'!V122-'1. Base'!V122</f>
        <v>0</v>
      </c>
      <c r="W122" s="22">
        <f>'2. Simulation'!W122-'1. Base'!W122</f>
        <v>0</v>
      </c>
      <c r="X122" s="22">
        <f>'2. Simulation'!X122-'1. Base'!X122</f>
        <v>0</v>
      </c>
      <c r="Y122" s="22">
        <f t="shared" si="14"/>
        <v>396.00857625494245</v>
      </c>
      <c r="Z122" s="42" t="s">
        <v>194</v>
      </c>
    </row>
    <row r="123" spans="2:26" ht="15" customHeight="1" outlineLevel="2" x14ac:dyDescent="0.3">
      <c r="B123" s="35" t="s">
        <v>186</v>
      </c>
      <c r="C123" s="13" t="s">
        <v>96</v>
      </c>
      <c r="D123" s="9" t="s">
        <v>138</v>
      </c>
      <c r="E123" s="22">
        <f>'2. Simulation'!E123-'1. Base'!E123</f>
        <v>0</v>
      </c>
      <c r="F123" s="22">
        <f>'2. Simulation'!F123-'1. Base'!F123</f>
        <v>0</v>
      </c>
      <c r="G123" s="22">
        <f>'2. Simulation'!G123-'1. Base'!G123</f>
        <v>0</v>
      </c>
      <c r="H123" s="22">
        <f>'2. Simulation'!H123-'1. Base'!H123</f>
        <v>0</v>
      </c>
      <c r="I123" s="22">
        <f>'2. Simulation'!I123-'1. Base'!I123</f>
        <v>0</v>
      </c>
      <c r="J123" s="22">
        <f>'2. Simulation'!J123-'1. Base'!J123</f>
        <v>0</v>
      </c>
      <c r="K123" s="22">
        <f>'2. Simulation'!K123-'1. Base'!K123</f>
        <v>0</v>
      </c>
      <c r="L123" s="22">
        <f>'2. Simulation'!L123-'1. Base'!L123</f>
        <v>0</v>
      </c>
      <c r="M123" s="22">
        <f>'2. Simulation'!M123-'1. Base'!M123</f>
        <v>0</v>
      </c>
      <c r="N123" s="22">
        <f>'2. Simulation'!N123-'1. Base'!N123</f>
        <v>0</v>
      </c>
      <c r="O123" s="22">
        <f>'2. Simulation'!O123-'1. Base'!O123</f>
        <v>0</v>
      </c>
      <c r="P123" s="22">
        <f>'2. Simulation'!P123-'1. Base'!P123</f>
        <v>0</v>
      </c>
      <c r="Q123" s="22">
        <f>'2. Simulation'!Q123-'1. Base'!Q123</f>
        <v>0</v>
      </c>
      <c r="R123" s="22">
        <f>'2. Simulation'!R123-'1. Base'!R123</f>
        <v>0</v>
      </c>
      <c r="S123" s="22">
        <f>'2. Simulation'!S123-'1. Base'!S123</f>
        <v>0</v>
      </c>
      <c r="T123" s="22">
        <f>'2. Simulation'!T123-'1. Base'!T123</f>
        <v>0</v>
      </c>
      <c r="U123" s="22">
        <f>'2. Simulation'!U123-'1. Base'!U123</f>
        <v>0</v>
      </c>
      <c r="V123" s="22">
        <f>'2. Simulation'!V123-'1. Base'!V123</f>
        <v>0</v>
      </c>
      <c r="W123" s="22">
        <f>'2. Simulation'!W123-'1. Base'!W123</f>
        <v>0</v>
      </c>
      <c r="X123" s="22">
        <f>'2. Simulation'!X123-'1. Base'!X123</f>
        <v>0</v>
      </c>
      <c r="Y123" s="22">
        <f t="shared" si="14"/>
        <v>0</v>
      </c>
      <c r="Z123" s="42" t="s">
        <v>193</v>
      </c>
    </row>
    <row r="124" spans="2:26" ht="15" customHeight="1" outlineLevel="2" x14ac:dyDescent="0.3">
      <c r="B124" s="35" t="s">
        <v>186</v>
      </c>
      <c r="C124" s="13" t="s">
        <v>96</v>
      </c>
      <c r="D124" s="9" t="s">
        <v>110</v>
      </c>
      <c r="E124" s="22">
        <f>'2. Simulation'!E124-'1. Base'!E124</f>
        <v>771.70902039424436</v>
      </c>
      <c r="F124" s="22">
        <f>'2. Simulation'!F124-'1. Base'!F124</f>
        <v>0</v>
      </c>
      <c r="G124" s="22">
        <f>'2. Simulation'!G124-'1. Base'!G124</f>
        <v>0</v>
      </c>
      <c r="H124" s="22">
        <f>'2. Simulation'!H124-'1. Base'!H124</f>
        <v>0</v>
      </c>
      <c r="I124" s="22">
        <f>'2. Simulation'!I124-'1. Base'!I124</f>
        <v>0</v>
      </c>
      <c r="J124" s="22">
        <f>'2. Simulation'!J124-'1. Base'!J124</f>
        <v>0</v>
      </c>
      <c r="K124" s="22">
        <f>'2. Simulation'!K124-'1. Base'!K124</f>
        <v>0</v>
      </c>
      <c r="L124" s="22">
        <f>'2. Simulation'!L124-'1. Base'!L124</f>
        <v>0</v>
      </c>
      <c r="M124" s="22">
        <f>'2. Simulation'!M124-'1. Base'!M124</f>
        <v>0</v>
      </c>
      <c r="N124" s="22">
        <f>'2. Simulation'!N124-'1. Base'!N124</f>
        <v>0</v>
      </c>
      <c r="O124" s="22">
        <f>'2. Simulation'!O124-'1. Base'!O124</f>
        <v>0</v>
      </c>
      <c r="P124" s="22">
        <f>'2. Simulation'!P124-'1. Base'!P124</f>
        <v>0</v>
      </c>
      <c r="Q124" s="22">
        <f>'2. Simulation'!Q124-'1. Base'!Q124</f>
        <v>0</v>
      </c>
      <c r="R124" s="22">
        <f>'2. Simulation'!R124-'1. Base'!R124</f>
        <v>0</v>
      </c>
      <c r="S124" s="22">
        <f>'2. Simulation'!S124-'1. Base'!S124</f>
        <v>0</v>
      </c>
      <c r="T124" s="22">
        <f>'2. Simulation'!T124-'1. Base'!T124</f>
        <v>0</v>
      </c>
      <c r="U124" s="22">
        <f>'2. Simulation'!U124-'1. Base'!U124</f>
        <v>0</v>
      </c>
      <c r="V124" s="22">
        <f>'2. Simulation'!V124-'1. Base'!V124</f>
        <v>0</v>
      </c>
      <c r="W124" s="22">
        <f>'2. Simulation'!W124-'1. Base'!W124</f>
        <v>0</v>
      </c>
      <c r="X124" s="22">
        <f>'2. Simulation'!X124-'1. Base'!X124</f>
        <v>0</v>
      </c>
      <c r="Y124" s="22">
        <f t="shared" si="14"/>
        <v>771.70902039424436</v>
      </c>
      <c r="Z124" s="42" t="s">
        <v>194</v>
      </c>
    </row>
    <row r="125" spans="2:26" ht="15" customHeight="1" outlineLevel="2" x14ac:dyDescent="0.3">
      <c r="B125" s="35" t="s">
        <v>186</v>
      </c>
      <c r="C125" s="13" t="s">
        <v>96</v>
      </c>
      <c r="D125" s="9" t="s">
        <v>139</v>
      </c>
      <c r="E125" s="22">
        <f>'2. Simulation'!E125-'1. Base'!E125</f>
        <v>0</v>
      </c>
      <c r="F125" s="22">
        <f>'2. Simulation'!F125-'1. Base'!F125</f>
        <v>0</v>
      </c>
      <c r="G125" s="22">
        <f>'2. Simulation'!G125-'1. Base'!G125</f>
        <v>0</v>
      </c>
      <c r="H125" s="22">
        <f>'2. Simulation'!H125-'1. Base'!H125</f>
        <v>0</v>
      </c>
      <c r="I125" s="22">
        <f>'2. Simulation'!I125-'1. Base'!I125</f>
        <v>0</v>
      </c>
      <c r="J125" s="22">
        <f>'2. Simulation'!J125-'1. Base'!J125</f>
        <v>0</v>
      </c>
      <c r="K125" s="22">
        <f>'2. Simulation'!K125-'1. Base'!K125</f>
        <v>0</v>
      </c>
      <c r="L125" s="22">
        <f>'2. Simulation'!L125-'1. Base'!L125</f>
        <v>0</v>
      </c>
      <c r="M125" s="22">
        <f>'2. Simulation'!M125-'1. Base'!M125</f>
        <v>0</v>
      </c>
      <c r="N125" s="22">
        <f>'2. Simulation'!N125-'1. Base'!N125</f>
        <v>0</v>
      </c>
      <c r="O125" s="22">
        <f>'2. Simulation'!O125-'1. Base'!O125</f>
        <v>0</v>
      </c>
      <c r="P125" s="22">
        <f>'2. Simulation'!P125-'1. Base'!P125</f>
        <v>0</v>
      </c>
      <c r="Q125" s="22">
        <f>'2. Simulation'!Q125-'1. Base'!Q125</f>
        <v>0</v>
      </c>
      <c r="R125" s="22">
        <f>'2. Simulation'!R125-'1. Base'!R125</f>
        <v>0</v>
      </c>
      <c r="S125" s="22">
        <f>'2. Simulation'!S125-'1. Base'!S125</f>
        <v>0</v>
      </c>
      <c r="T125" s="22">
        <f>'2. Simulation'!T125-'1. Base'!T125</f>
        <v>0</v>
      </c>
      <c r="U125" s="22">
        <f>'2. Simulation'!U125-'1. Base'!U125</f>
        <v>0</v>
      </c>
      <c r="V125" s="22">
        <f>'2. Simulation'!V125-'1. Base'!V125</f>
        <v>0</v>
      </c>
      <c r="W125" s="22">
        <f>'2. Simulation'!W125-'1. Base'!W125</f>
        <v>0</v>
      </c>
      <c r="X125" s="22">
        <f>'2. Simulation'!X125-'1. Base'!X125</f>
        <v>0</v>
      </c>
      <c r="Y125" s="22">
        <f t="shared" si="14"/>
        <v>0</v>
      </c>
      <c r="Z125" s="42" t="s">
        <v>192</v>
      </c>
    </row>
    <row r="126" spans="2:26" ht="15" customHeight="1" outlineLevel="2" x14ac:dyDescent="0.3">
      <c r="B126" s="35" t="s">
        <v>186</v>
      </c>
      <c r="C126" s="13" t="s">
        <v>96</v>
      </c>
      <c r="D126" s="9" t="s">
        <v>140</v>
      </c>
      <c r="E126" s="22">
        <f>'2. Simulation'!E126-'1. Base'!E126</f>
        <v>0</v>
      </c>
      <c r="F126" s="22">
        <f>'2. Simulation'!F126-'1. Base'!F126</f>
        <v>0</v>
      </c>
      <c r="G126" s="22">
        <f>'2. Simulation'!G126-'1. Base'!G126</f>
        <v>0</v>
      </c>
      <c r="H126" s="22">
        <f>'2. Simulation'!H126-'1. Base'!H126</f>
        <v>0</v>
      </c>
      <c r="I126" s="22">
        <f>'2. Simulation'!I126-'1. Base'!I126</f>
        <v>0</v>
      </c>
      <c r="J126" s="22">
        <f>'2. Simulation'!J126-'1. Base'!J126</f>
        <v>0</v>
      </c>
      <c r="K126" s="22">
        <f>'2. Simulation'!K126-'1. Base'!K126</f>
        <v>0</v>
      </c>
      <c r="L126" s="22">
        <f>'2. Simulation'!L126-'1. Base'!L126</f>
        <v>0</v>
      </c>
      <c r="M126" s="22">
        <f>'2. Simulation'!M126-'1. Base'!M126</f>
        <v>0</v>
      </c>
      <c r="N126" s="22">
        <f>'2. Simulation'!N126-'1. Base'!N126</f>
        <v>0</v>
      </c>
      <c r="O126" s="22">
        <f>'2. Simulation'!O126-'1. Base'!O126</f>
        <v>0</v>
      </c>
      <c r="P126" s="22">
        <f>'2. Simulation'!P126-'1. Base'!P126</f>
        <v>0</v>
      </c>
      <c r="Q126" s="22">
        <f>'2. Simulation'!Q126-'1. Base'!Q126</f>
        <v>0</v>
      </c>
      <c r="R126" s="22">
        <f>'2. Simulation'!R126-'1. Base'!R126</f>
        <v>0</v>
      </c>
      <c r="S126" s="22">
        <f>'2. Simulation'!S126-'1. Base'!S126</f>
        <v>0</v>
      </c>
      <c r="T126" s="22">
        <f>'2. Simulation'!T126-'1. Base'!T126</f>
        <v>0</v>
      </c>
      <c r="U126" s="22">
        <f>'2. Simulation'!U126-'1. Base'!U126</f>
        <v>0</v>
      </c>
      <c r="V126" s="22">
        <f>'2. Simulation'!V126-'1. Base'!V126</f>
        <v>0</v>
      </c>
      <c r="W126" s="22">
        <f>'2. Simulation'!W126-'1. Base'!W126</f>
        <v>0</v>
      </c>
      <c r="X126" s="22">
        <f>'2. Simulation'!X126-'1. Base'!X126</f>
        <v>0</v>
      </c>
      <c r="Y126" s="22">
        <f t="shared" si="14"/>
        <v>0</v>
      </c>
      <c r="Z126" s="42" t="s">
        <v>193</v>
      </c>
    </row>
    <row r="127" spans="2:26" ht="15" customHeight="1" outlineLevel="2" x14ac:dyDescent="0.3">
      <c r="B127" s="35" t="s">
        <v>186</v>
      </c>
      <c r="C127" s="13" t="s">
        <v>96</v>
      </c>
      <c r="D127" s="9" t="s">
        <v>141</v>
      </c>
      <c r="E127" s="22">
        <f>'2. Simulation'!E127-'1. Base'!E127</f>
        <v>0</v>
      </c>
      <c r="F127" s="22">
        <f>'2. Simulation'!F127-'1. Base'!F127</f>
        <v>0</v>
      </c>
      <c r="G127" s="22">
        <f>'2. Simulation'!G127-'1. Base'!G127</f>
        <v>0</v>
      </c>
      <c r="H127" s="22">
        <f>'2. Simulation'!H127-'1. Base'!H127</f>
        <v>0</v>
      </c>
      <c r="I127" s="22">
        <f>'2. Simulation'!I127-'1. Base'!I127</f>
        <v>0</v>
      </c>
      <c r="J127" s="22">
        <f>'2. Simulation'!J127-'1. Base'!J127</f>
        <v>0</v>
      </c>
      <c r="K127" s="22">
        <f>'2. Simulation'!K127-'1. Base'!K127</f>
        <v>0</v>
      </c>
      <c r="L127" s="22">
        <f>'2. Simulation'!L127-'1. Base'!L127</f>
        <v>0</v>
      </c>
      <c r="M127" s="22">
        <f>'2. Simulation'!M127-'1. Base'!M127</f>
        <v>0</v>
      </c>
      <c r="N127" s="22">
        <f>'2. Simulation'!N127-'1. Base'!N127</f>
        <v>0</v>
      </c>
      <c r="O127" s="22">
        <f>'2. Simulation'!O127-'1. Base'!O127</f>
        <v>0</v>
      </c>
      <c r="P127" s="22">
        <f>'2. Simulation'!P127-'1. Base'!P127</f>
        <v>0</v>
      </c>
      <c r="Q127" s="22">
        <f>'2. Simulation'!Q127-'1. Base'!Q127</f>
        <v>0</v>
      </c>
      <c r="R127" s="22">
        <f>'2. Simulation'!R127-'1. Base'!R127</f>
        <v>0</v>
      </c>
      <c r="S127" s="22">
        <f>'2. Simulation'!S127-'1. Base'!S127</f>
        <v>0</v>
      </c>
      <c r="T127" s="22">
        <f>'2. Simulation'!T127-'1. Base'!T127</f>
        <v>0</v>
      </c>
      <c r="U127" s="22">
        <f>'2. Simulation'!U127-'1. Base'!U127</f>
        <v>0</v>
      </c>
      <c r="V127" s="22">
        <f>'2. Simulation'!V127-'1. Base'!V127</f>
        <v>0</v>
      </c>
      <c r="W127" s="22">
        <f>'2. Simulation'!W127-'1. Base'!W127</f>
        <v>0</v>
      </c>
      <c r="X127" s="22">
        <f>'2. Simulation'!X127-'1. Base'!X127</f>
        <v>0</v>
      </c>
      <c r="Y127" s="22">
        <f t="shared" si="14"/>
        <v>0</v>
      </c>
      <c r="Z127" s="42" t="s">
        <v>194</v>
      </c>
    </row>
    <row r="128" spans="2:26" ht="15" customHeight="1" outlineLevel="2" x14ac:dyDescent="0.3">
      <c r="B128" s="35" t="s">
        <v>186</v>
      </c>
      <c r="C128" s="13" t="s">
        <v>96</v>
      </c>
      <c r="D128" s="9" t="s">
        <v>111</v>
      </c>
      <c r="E128" s="22">
        <f>'2. Simulation'!E128-'1. Base'!E128</f>
        <v>1788.2216531227714</v>
      </c>
      <c r="F128" s="22">
        <f>'2. Simulation'!F128-'1. Base'!F128</f>
        <v>0</v>
      </c>
      <c r="G128" s="22">
        <f>'2. Simulation'!G128-'1. Base'!G128</f>
        <v>0</v>
      </c>
      <c r="H128" s="22">
        <f>'2. Simulation'!H128-'1. Base'!H128</f>
        <v>0</v>
      </c>
      <c r="I128" s="22">
        <f>'2. Simulation'!I128-'1. Base'!I128</f>
        <v>0</v>
      </c>
      <c r="J128" s="22">
        <f>'2. Simulation'!J128-'1. Base'!J128</f>
        <v>0</v>
      </c>
      <c r="K128" s="22">
        <f>'2. Simulation'!K128-'1. Base'!K128</f>
        <v>0</v>
      </c>
      <c r="L128" s="22">
        <f>'2. Simulation'!L128-'1. Base'!L128</f>
        <v>0</v>
      </c>
      <c r="M128" s="22">
        <f>'2. Simulation'!M128-'1. Base'!M128</f>
        <v>0</v>
      </c>
      <c r="N128" s="22">
        <f>'2. Simulation'!N128-'1. Base'!N128</f>
        <v>0</v>
      </c>
      <c r="O128" s="22">
        <f>'2. Simulation'!O128-'1. Base'!O128</f>
        <v>0</v>
      </c>
      <c r="P128" s="22">
        <f>'2. Simulation'!P128-'1. Base'!P128</f>
        <v>0</v>
      </c>
      <c r="Q128" s="22">
        <f>'2. Simulation'!Q128-'1. Base'!Q128</f>
        <v>0</v>
      </c>
      <c r="R128" s="22">
        <f>'2. Simulation'!R128-'1. Base'!R128</f>
        <v>0</v>
      </c>
      <c r="S128" s="22">
        <f>'2. Simulation'!S128-'1. Base'!S128</f>
        <v>0</v>
      </c>
      <c r="T128" s="22">
        <f>'2. Simulation'!T128-'1. Base'!T128</f>
        <v>0</v>
      </c>
      <c r="U128" s="22">
        <f>'2. Simulation'!U128-'1. Base'!U128</f>
        <v>0</v>
      </c>
      <c r="V128" s="22">
        <f>'2. Simulation'!V128-'1. Base'!V128</f>
        <v>0</v>
      </c>
      <c r="W128" s="22">
        <f>'2. Simulation'!W128-'1. Base'!W128</f>
        <v>0</v>
      </c>
      <c r="X128" s="22">
        <f>'2. Simulation'!X128-'1. Base'!X128</f>
        <v>0</v>
      </c>
      <c r="Y128" s="22">
        <f t="shared" si="14"/>
        <v>1788.2216531227714</v>
      </c>
      <c r="Z128" s="42" t="s">
        <v>192</v>
      </c>
    </row>
    <row r="129" spans="2:26" ht="15" customHeight="1" outlineLevel="2" x14ac:dyDescent="0.3">
      <c r="B129" s="35" t="s">
        <v>186</v>
      </c>
      <c r="C129" s="13" t="s">
        <v>96</v>
      </c>
      <c r="D129" s="9" t="s">
        <v>112</v>
      </c>
      <c r="E129" s="22">
        <f>'2. Simulation'!E129-'1. Base'!E129</f>
        <v>1676.4577998025961</v>
      </c>
      <c r="F129" s="22">
        <f>'2. Simulation'!F129-'1. Base'!F129</f>
        <v>0</v>
      </c>
      <c r="G129" s="22">
        <f>'2. Simulation'!G129-'1. Base'!G129</f>
        <v>0</v>
      </c>
      <c r="H129" s="22">
        <f>'2. Simulation'!H129-'1. Base'!H129</f>
        <v>0</v>
      </c>
      <c r="I129" s="22">
        <f>'2. Simulation'!I129-'1. Base'!I129</f>
        <v>0</v>
      </c>
      <c r="J129" s="22">
        <f>'2. Simulation'!J129-'1. Base'!J129</f>
        <v>0</v>
      </c>
      <c r="K129" s="22">
        <f>'2. Simulation'!K129-'1. Base'!K129</f>
        <v>0</v>
      </c>
      <c r="L129" s="22">
        <f>'2. Simulation'!L129-'1. Base'!L129</f>
        <v>0</v>
      </c>
      <c r="M129" s="22">
        <f>'2. Simulation'!M129-'1. Base'!M129</f>
        <v>0</v>
      </c>
      <c r="N129" s="22">
        <f>'2. Simulation'!N129-'1. Base'!N129</f>
        <v>0</v>
      </c>
      <c r="O129" s="22">
        <f>'2. Simulation'!O129-'1. Base'!O129</f>
        <v>0</v>
      </c>
      <c r="P129" s="22">
        <f>'2. Simulation'!P129-'1. Base'!P129</f>
        <v>0</v>
      </c>
      <c r="Q129" s="22">
        <f>'2. Simulation'!Q129-'1. Base'!Q129</f>
        <v>0</v>
      </c>
      <c r="R129" s="22">
        <f>'2. Simulation'!R129-'1. Base'!R129</f>
        <v>0</v>
      </c>
      <c r="S129" s="22">
        <f>'2. Simulation'!S129-'1. Base'!S129</f>
        <v>0</v>
      </c>
      <c r="T129" s="22">
        <f>'2. Simulation'!T129-'1. Base'!T129</f>
        <v>0</v>
      </c>
      <c r="U129" s="22">
        <f>'2. Simulation'!U129-'1. Base'!U129</f>
        <v>0</v>
      </c>
      <c r="V129" s="22">
        <f>'2. Simulation'!V129-'1. Base'!V129</f>
        <v>0</v>
      </c>
      <c r="W129" s="22">
        <f>'2. Simulation'!W129-'1. Base'!W129</f>
        <v>0</v>
      </c>
      <c r="X129" s="22">
        <f>'2. Simulation'!X129-'1. Base'!X129</f>
        <v>0</v>
      </c>
      <c r="Y129" s="22">
        <f t="shared" si="14"/>
        <v>1676.4577998025961</v>
      </c>
      <c r="Z129" s="42" t="s">
        <v>192</v>
      </c>
    </row>
    <row r="130" spans="2:26" ht="15" customHeight="1" outlineLevel="2" x14ac:dyDescent="0.3">
      <c r="B130" s="35" t="s">
        <v>186</v>
      </c>
      <c r="C130" s="13" t="s">
        <v>96</v>
      </c>
      <c r="D130" s="9" t="s">
        <v>142</v>
      </c>
      <c r="E130" s="22">
        <f>'2. Simulation'!E130-'1. Base'!E130</f>
        <v>0</v>
      </c>
      <c r="F130" s="22">
        <f>'2. Simulation'!F130-'1. Base'!F130</f>
        <v>0</v>
      </c>
      <c r="G130" s="22">
        <f>'2. Simulation'!G130-'1. Base'!G130</f>
        <v>0</v>
      </c>
      <c r="H130" s="22">
        <f>'2. Simulation'!H130-'1. Base'!H130</f>
        <v>0</v>
      </c>
      <c r="I130" s="22">
        <f>'2. Simulation'!I130-'1. Base'!I130</f>
        <v>0</v>
      </c>
      <c r="J130" s="22">
        <f>'2. Simulation'!J130-'1. Base'!J130</f>
        <v>0</v>
      </c>
      <c r="K130" s="22">
        <f>'2. Simulation'!K130-'1. Base'!K130</f>
        <v>0</v>
      </c>
      <c r="L130" s="22">
        <f>'2. Simulation'!L130-'1. Base'!L130</f>
        <v>0</v>
      </c>
      <c r="M130" s="22">
        <f>'2. Simulation'!M130-'1. Base'!M130</f>
        <v>0</v>
      </c>
      <c r="N130" s="22">
        <f>'2. Simulation'!N130-'1. Base'!N130</f>
        <v>0</v>
      </c>
      <c r="O130" s="22">
        <f>'2. Simulation'!O130-'1. Base'!O130</f>
        <v>0</v>
      </c>
      <c r="P130" s="22">
        <f>'2. Simulation'!P130-'1. Base'!P130</f>
        <v>0</v>
      </c>
      <c r="Q130" s="22">
        <f>'2. Simulation'!Q130-'1. Base'!Q130</f>
        <v>0</v>
      </c>
      <c r="R130" s="22">
        <f>'2. Simulation'!R130-'1. Base'!R130</f>
        <v>0</v>
      </c>
      <c r="S130" s="22">
        <f>'2. Simulation'!S130-'1. Base'!S130</f>
        <v>0</v>
      </c>
      <c r="T130" s="22">
        <f>'2. Simulation'!T130-'1. Base'!T130</f>
        <v>0</v>
      </c>
      <c r="U130" s="22">
        <f>'2. Simulation'!U130-'1. Base'!U130</f>
        <v>0</v>
      </c>
      <c r="V130" s="22">
        <f>'2. Simulation'!V130-'1. Base'!V130</f>
        <v>0</v>
      </c>
      <c r="W130" s="22">
        <f>'2. Simulation'!W130-'1. Base'!W130</f>
        <v>0</v>
      </c>
      <c r="X130" s="22">
        <f>'2. Simulation'!X130-'1. Base'!X130</f>
        <v>0</v>
      </c>
      <c r="Y130" s="22">
        <f t="shared" si="14"/>
        <v>0</v>
      </c>
      <c r="Z130" s="42" t="s">
        <v>193</v>
      </c>
    </row>
    <row r="131" spans="2:26" ht="15" customHeight="1" outlineLevel="2" x14ac:dyDescent="0.3">
      <c r="B131" s="35" t="s">
        <v>186</v>
      </c>
      <c r="C131" s="13" t="s">
        <v>96</v>
      </c>
      <c r="D131" s="9" t="s">
        <v>143</v>
      </c>
      <c r="E131" s="22">
        <f>'2. Simulation'!E131-'1. Base'!E131</f>
        <v>0</v>
      </c>
      <c r="F131" s="22">
        <f>'2. Simulation'!F131-'1. Base'!F131</f>
        <v>0</v>
      </c>
      <c r="G131" s="22">
        <f>'2. Simulation'!G131-'1. Base'!G131</f>
        <v>0</v>
      </c>
      <c r="H131" s="22">
        <f>'2. Simulation'!H131-'1. Base'!H131</f>
        <v>0</v>
      </c>
      <c r="I131" s="22">
        <f>'2. Simulation'!I131-'1. Base'!I131</f>
        <v>0</v>
      </c>
      <c r="J131" s="22">
        <f>'2. Simulation'!J131-'1. Base'!J131</f>
        <v>0</v>
      </c>
      <c r="K131" s="22">
        <f>'2. Simulation'!K131-'1. Base'!K131</f>
        <v>0</v>
      </c>
      <c r="L131" s="22">
        <f>'2. Simulation'!L131-'1. Base'!L131</f>
        <v>0</v>
      </c>
      <c r="M131" s="22">
        <f>'2. Simulation'!M131-'1. Base'!M131</f>
        <v>0</v>
      </c>
      <c r="N131" s="22">
        <f>'2. Simulation'!N131-'1. Base'!N131</f>
        <v>0</v>
      </c>
      <c r="O131" s="22">
        <f>'2. Simulation'!O131-'1. Base'!O131</f>
        <v>0</v>
      </c>
      <c r="P131" s="22">
        <f>'2. Simulation'!P131-'1. Base'!P131</f>
        <v>0</v>
      </c>
      <c r="Q131" s="22">
        <f>'2. Simulation'!Q131-'1. Base'!Q131</f>
        <v>0</v>
      </c>
      <c r="R131" s="22">
        <f>'2. Simulation'!R131-'1. Base'!R131</f>
        <v>0</v>
      </c>
      <c r="S131" s="22">
        <f>'2. Simulation'!S131-'1. Base'!S131</f>
        <v>0</v>
      </c>
      <c r="T131" s="22">
        <f>'2. Simulation'!T131-'1. Base'!T131</f>
        <v>0</v>
      </c>
      <c r="U131" s="22">
        <f>'2. Simulation'!U131-'1. Base'!U131</f>
        <v>0</v>
      </c>
      <c r="V131" s="22">
        <f>'2. Simulation'!V131-'1. Base'!V131</f>
        <v>0</v>
      </c>
      <c r="W131" s="22">
        <f>'2. Simulation'!W131-'1. Base'!W131</f>
        <v>0</v>
      </c>
      <c r="X131" s="22">
        <f>'2. Simulation'!X131-'1. Base'!X131</f>
        <v>0</v>
      </c>
      <c r="Y131" s="22">
        <f t="shared" si="14"/>
        <v>0</v>
      </c>
      <c r="Z131" s="42" t="s">
        <v>194</v>
      </c>
    </row>
    <row r="132" spans="2:26" ht="15" customHeight="1" outlineLevel="2" x14ac:dyDescent="0.3">
      <c r="B132" s="35" t="s">
        <v>186</v>
      </c>
      <c r="C132" s="13" t="s">
        <v>96</v>
      </c>
      <c r="D132" s="9" t="s">
        <v>144</v>
      </c>
      <c r="E132" s="22">
        <f>'2. Simulation'!E132-'1. Base'!E132</f>
        <v>0</v>
      </c>
      <c r="F132" s="22">
        <f>'2. Simulation'!F132-'1. Base'!F132</f>
        <v>0</v>
      </c>
      <c r="G132" s="22">
        <f>'2. Simulation'!G132-'1. Base'!G132</f>
        <v>0</v>
      </c>
      <c r="H132" s="22">
        <f>'2. Simulation'!H132-'1. Base'!H132</f>
        <v>0</v>
      </c>
      <c r="I132" s="22">
        <f>'2. Simulation'!I132-'1. Base'!I132</f>
        <v>0</v>
      </c>
      <c r="J132" s="22">
        <f>'2. Simulation'!J132-'1. Base'!J132</f>
        <v>0</v>
      </c>
      <c r="K132" s="22">
        <f>'2. Simulation'!K132-'1. Base'!K132</f>
        <v>0</v>
      </c>
      <c r="L132" s="22">
        <f>'2. Simulation'!L132-'1. Base'!L132</f>
        <v>0</v>
      </c>
      <c r="M132" s="22">
        <f>'2. Simulation'!M132-'1. Base'!M132</f>
        <v>0</v>
      </c>
      <c r="N132" s="22">
        <f>'2. Simulation'!N132-'1. Base'!N132</f>
        <v>0</v>
      </c>
      <c r="O132" s="22">
        <f>'2. Simulation'!O132-'1. Base'!O132</f>
        <v>0</v>
      </c>
      <c r="P132" s="22">
        <f>'2. Simulation'!P132-'1. Base'!P132</f>
        <v>0</v>
      </c>
      <c r="Q132" s="22">
        <f>'2. Simulation'!Q132-'1. Base'!Q132</f>
        <v>0</v>
      </c>
      <c r="R132" s="22">
        <f>'2. Simulation'!R132-'1. Base'!R132</f>
        <v>0</v>
      </c>
      <c r="S132" s="22">
        <f>'2. Simulation'!S132-'1. Base'!S132</f>
        <v>0</v>
      </c>
      <c r="T132" s="22">
        <f>'2. Simulation'!T132-'1. Base'!T132</f>
        <v>0</v>
      </c>
      <c r="U132" s="22">
        <f>'2. Simulation'!U132-'1. Base'!U132</f>
        <v>0</v>
      </c>
      <c r="V132" s="22">
        <f>'2. Simulation'!V132-'1. Base'!V132</f>
        <v>0</v>
      </c>
      <c r="W132" s="22">
        <f>'2. Simulation'!W132-'1. Base'!W132</f>
        <v>0</v>
      </c>
      <c r="X132" s="22">
        <f>'2. Simulation'!X132-'1. Base'!X132</f>
        <v>0</v>
      </c>
      <c r="Y132" s="22">
        <f t="shared" si="14"/>
        <v>0</v>
      </c>
      <c r="Z132" s="42" t="s">
        <v>194</v>
      </c>
    </row>
    <row r="133" spans="2:26" ht="15" customHeight="1" outlineLevel="2" x14ac:dyDescent="0.3">
      <c r="B133" s="35" t="s">
        <v>186</v>
      </c>
      <c r="C133" s="13" t="s">
        <v>96</v>
      </c>
      <c r="D133" s="9" t="s">
        <v>113</v>
      </c>
      <c r="E133" s="22">
        <f>'2. Simulation'!E133-'1. Base'!E133</f>
        <v>1257.343349851948</v>
      </c>
      <c r="F133" s="22">
        <f>'2. Simulation'!F133-'1. Base'!F133</f>
        <v>0</v>
      </c>
      <c r="G133" s="22">
        <f>'2. Simulation'!G133-'1. Base'!G133</f>
        <v>0</v>
      </c>
      <c r="H133" s="22">
        <f>'2. Simulation'!H133-'1. Base'!H133</f>
        <v>0</v>
      </c>
      <c r="I133" s="22">
        <f>'2. Simulation'!I133-'1. Base'!I133</f>
        <v>0</v>
      </c>
      <c r="J133" s="22">
        <f>'2. Simulation'!J133-'1. Base'!J133</f>
        <v>0</v>
      </c>
      <c r="K133" s="22">
        <f>'2. Simulation'!K133-'1. Base'!K133</f>
        <v>0</v>
      </c>
      <c r="L133" s="22">
        <f>'2. Simulation'!L133-'1. Base'!L133</f>
        <v>0</v>
      </c>
      <c r="M133" s="22">
        <f>'2. Simulation'!M133-'1. Base'!M133</f>
        <v>0</v>
      </c>
      <c r="N133" s="22">
        <f>'2. Simulation'!N133-'1. Base'!N133</f>
        <v>0</v>
      </c>
      <c r="O133" s="22">
        <f>'2. Simulation'!O133-'1. Base'!O133</f>
        <v>0</v>
      </c>
      <c r="P133" s="22">
        <f>'2. Simulation'!P133-'1. Base'!P133</f>
        <v>0</v>
      </c>
      <c r="Q133" s="22">
        <f>'2. Simulation'!Q133-'1. Base'!Q133</f>
        <v>0</v>
      </c>
      <c r="R133" s="22">
        <f>'2. Simulation'!R133-'1. Base'!R133</f>
        <v>0</v>
      </c>
      <c r="S133" s="22">
        <f>'2. Simulation'!S133-'1. Base'!S133</f>
        <v>0</v>
      </c>
      <c r="T133" s="22">
        <f>'2. Simulation'!T133-'1. Base'!T133</f>
        <v>0</v>
      </c>
      <c r="U133" s="22">
        <f>'2. Simulation'!U133-'1. Base'!U133</f>
        <v>0</v>
      </c>
      <c r="V133" s="22">
        <f>'2. Simulation'!V133-'1. Base'!V133</f>
        <v>0</v>
      </c>
      <c r="W133" s="22">
        <f>'2. Simulation'!W133-'1. Base'!W133</f>
        <v>0</v>
      </c>
      <c r="X133" s="22">
        <f>'2. Simulation'!X133-'1. Base'!X133</f>
        <v>0</v>
      </c>
      <c r="Y133" s="22">
        <f t="shared" si="14"/>
        <v>1257.343349851948</v>
      </c>
      <c r="Z133" s="42" t="s">
        <v>192</v>
      </c>
    </row>
    <row r="134" spans="2:26" ht="15" customHeight="1" outlineLevel="2" x14ac:dyDescent="0.3">
      <c r="B134" s="35" t="s">
        <v>186</v>
      </c>
      <c r="C134" s="13" t="s">
        <v>96</v>
      </c>
      <c r="D134" s="9" t="s">
        <v>114</v>
      </c>
      <c r="E134" s="22">
        <f>'2. Simulation'!E134-'1. Base'!E134</f>
        <v>288.83634008054196</v>
      </c>
      <c r="F134" s="22">
        <f>'2. Simulation'!F134-'1. Base'!F134</f>
        <v>0</v>
      </c>
      <c r="G134" s="22">
        <f>'2. Simulation'!G134-'1. Base'!G134</f>
        <v>0</v>
      </c>
      <c r="H134" s="22">
        <f>'2. Simulation'!H134-'1. Base'!H134</f>
        <v>0</v>
      </c>
      <c r="I134" s="22">
        <f>'2. Simulation'!I134-'1. Base'!I134</f>
        <v>0</v>
      </c>
      <c r="J134" s="22">
        <f>'2. Simulation'!J134-'1. Base'!J134</f>
        <v>0</v>
      </c>
      <c r="K134" s="22">
        <f>'2. Simulation'!K134-'1. Base'!K134</f>
        <v>0</v>
      </c>
      <c r="L134" s="22">
        <f>'2. Simulation'!L134-'1. Base'!L134</f>
        <v>0</v>
      </c>
      <c r="M134" s="22">
        <f>'2. Simulation'!M134-'1. Base'!M134</f>
        <v>0</v>
      </c>
      <c r="N134" s="22">
        <f>'2. Simulation'!N134-'1. Base'!N134</f>
        <v>0</v>
      </c>
      <c r="O134" s="22">
        <f>'2. Simulation'!O134-'1. Base'!O134</f>
        <v>0</v>
      </c>
      <c r="P134" s="22">
        <f>'2. Simulation'!P134-'1. Base'!P134</f>
        <v>0</v>
      </c>
      <c r="Q134" s="22">
        <f>'2. Simulation'!Q134-'1. Base'!Q134</f>
        <v>0</v>
      </c>
      <c r="R134" s="22">
        <f>'2. Simulation'!R134-'1. Base'!R134</f>
        <v>0</v>
      </c>
      <c r="S134" s="22">
        <f>'2. Simulation'!S134-'1. Base'!S134</f>
        <v>0</v>
      </c>
      <c r="T134" s="22">
        <f>'2. Simulation'!T134-'1. Base'!T134</f>
        <v>0</v>
      </c>
      <c r="U134" s="22">
        <f>'2. Simulation'!U134-'1. Base'!U134</f>
        <v>0</v>
      </c>
      <c r="V134" s="22">
        <f>'2. Simulation'!V134-'1. Base'!V134</f>
        <v>0</v>
      </c>
      <c r="W134" s="22">
        <f>'2. Simulation'!W134-'1. Base'!W134</f>
        <v>0</v>
      </c>
      <c r="X134" s="22">
        <f>'2. Simulation'!X134-'1. Base'!X134</f>
        <v>0</v>
      </c>
      <c r="Y134" s="22">
        <f t="shared" si="14"/>
        <v>288.83634008054196</v>
      </c>
      <c r="Z134" s="42" t="s">
        <v>193</v>
      </c>
    </row>
    <row r="135" spans="2:26" ht="15" customHeight="1" outlineLevel="2" x14ac:dyDescent="0.3">
      <c r="B135" s="35" t="s">
        <v>186</v>
      </c>
      <c r="C135" s="13" t="s">
        <v>96</v>
      </c>
      <c r="D135" s="9" t="s">
        <v>115</v>
      </c>
      <c r="E135" s="22">
        <f>'2. Simulation'!E135-'1. Base'!E135</f>
        <v>456.93297260185591</v>
      </c>
      <c r="F135" s="22">
        <f>'2. Simulation'!F135-'1. Base'!F135</f>
        <v>0</v>
      </c>
      <c r="G135" s="22">
        <f>'2. Simulation'!G135-'1. Base'!G135</f>
        <v>0</v>
      </c>
      <c r="H135" s="22">
        <f>'2. Simulation'!H135-'1. Base'!H135</f>
        <v>0</v>
      </c>
      <c r="I135" s="22">
        <f>'2. Simulation'!I135-'1. Base'!I135</f>
        <v>0</v>
      </c>
      <c r="J135" s="22">
        <f>'2. Simulation'!J135-'1. Base'!J135</f>
        <v>0</v>
      </c>
      <c r="K135" s="22">
        <f>'2. Simulation'!K135-'1. Base'!K135</f>
        <v>0</v>
      </c>
      <c r="L135" s="22">
        <f>'2. Simulation'!L135-'1. Base'!L135</f>
        <v>0</v>
      </c>
      <c r="M135" s="22">
        <f>'2. Simulation'!M135-'1. Base'!M135</f>
        <v>0</v>
      </c>
      <c r="N135" s="22">
        <f>'2. Simulation'!N135-'1. Base'!N135</f>
        <v>0</v>
      </c>
      <c r="O135" s="22">
        <f>'2. Simulation'!O135-'1. Base'!O135</f>
        <v>0</v>
      </c>
      <c r="P135" s="22">
        <f>'2. Simulation'!P135-'1. Base'!P135</f>
        <v>0</v>
      </c>
      <c r="Q135" s="22">
        <f>'2. Simulation'!Q135-'1. Base'!Q135</f>
        <v>0</v>
      </c>
      <c r="R135" s="22">
        <f>'2. Simulation'!R135-'1. Base'!R135</f>
        <v>0</v>
      </c>
      <c r="S135" s="22">
        <f>'2. Simulation'!S135-'1. Base'!S135</f>
        <v>0</v>
      </c>
      <c r="T135" s="22">
        <f>'2. Simulation'!T135-'1. Base'!T135</f>
        <v>0</v>
      </c>
      <c r="U135" s="22">
        <f>'2. Simulation'!U135-'1. Base'!U135</f>
        <v>0</v>
      </c>
      <c r="V135" s="22">
        <f>'2. Simulation'!V135-'1. Base'!V135</f>
        <v>0</v>
      </c>
      <c r="W135" s="22">
        <f>'2. Simulation'!W135-'1. Base'!W135</f>
        <v>0</v>
      </c>
      <c r="X135" s="22">
        <f>'2. Simulation'!X135-'1. Base'!X135</f>
        <v>0</v>
      </c>
      <c r="Y135" s="22">
        <f t="shared" si="14"/>
        <v>456.93297260185591</v>
      </c>
      <c r="Z135" s="42" t="s">
        <v>194</v>
      </c>
    </row>
    <row r="136" spans="2:26" ht="15" customHeight="1" outlineLevel="1" x14ac:dyDescent="0.3">
      <c r="B136" s="35" t="s">
        <v>186</v>
      </c>
      <c r="C136" s="13" t="s">
        <v>96</v>
      </c>
      <c r="D136" s="13" t="s">
        <v>116</v>
      </c>
      <c r="E136" s="23">
        <f>'2. Simulation'!E136-'1. Base'!E136</f>
        <v>10086.687762145608</v>
      </c>
      <c r="F136" s="23">
        <f>'2. Simulation'!F136-'1. Base'!F136</f>
        <v>0</v>
      </c>
      <c r="G136" s="23">
        <f>'2. Simulation'!G136-'1. Base'!G136</f>
        <v>0</v>
      </c>
      <c r="H136" s="23">
        <f>'2. Simulation'!H136-'1. Base'!H136</f>
        <v>0</v>
      </c>
      <c r="I136" s="23">
        <f>'2. Simulation'!I136-'1. Base'!I136</f>
        <v>0</v>
      </c>
      <c r="J136" s="23">
        <f>'2. Simulation'!J136-'1. Base'!J136</f>
        <v>0</v>
      </c>
      <c r="K136" s="23">
        <f>'2. Simulation'!K136-'1. Base'!K136</f>
        <v>0</v>
      </c>
      <c r="L136" s="23">
        <f>'2. Simulation'!L136-'1. Base'!L136</f>
        <v>0</v>
      </c>
      <c r="M136" s="23">
        <f>'2. Simulation'!M136-'1. Base'!M136</f>
        <v>0</v>
      </c>
      <c r="N136" s="23">
        <f>'2. Simulation'!N136-'1. Base'!N136</f>
        <v>0</v>
      </c>
      <c r="O136" s="23">
        <f>'2. Simulation'!O136-'1. Base'!O136</f>
        <v>0</v>
      </c>
      <c r="P136" s="23">
        <f>'2. Simulation'!P136-'1. Base'!P136</f>
        <v>0</v>
      </c>
      <c r="Q136" s="23">
        <f>'2. Simulation'!Q136-'1. Base'!Q136</f>
        <v>0</v>
      </c>
      <c r="R136" s="23">
        <f>'2. Simulation'!R136-'1. Base'!R136</f>
        <v>0</v>
      </c>
      <c r="S136" s="23">
        <f>'2. Simulation'!S136-'1. Base'!S136</f>
        <v>0</v>
      </c>
      <c r="T136" s="23">
        <f>'2. Simulation'!T136-'1. Base'!T136</f>
        <v>0</v>
      </c>
      <c r="U136" s="23">
        <f>'2. Simulation'!U136-'1. Base'!U136</f>
        <v>0</v>
      </c>
      <c r="V136" s="23">
        <f>'2. Simulation'!V136-'1. Base'!V136</f>
        <v>0</v>
      </c>
      <c r="W136" s="23">
        <f>'2. Simulation'!W136-'1. Base'!W136</f>
        <v>0</v>
      </c>
      <c r="X136" s="23">
        <f>'2. Simulation'!X136-'1. Base'!X136</f>
        <v>0</v>
      </c>
      <c r="Y136" s="22">
        <f t="shared" si="14"/>
        <v>10086.687762145608</v>
      </c>
      <c r="Z136" s="42" t="s">
        <v>192</v>
      </c>
    </row>
    <row r="137" spans="2:26" ht="15" customHeight="1" outlineLevel="1" x14ac:dyDescent="0.3">
      <c r="B137" s="35" t="s">
        <v>186</v>
      </c>
      <c r="C137" s="13" t="s">
        <v>96</v>
      </c>
      <c r="D137" s="13" t="s">
        <v>117</v>
      </c>
      <c r="E137" s="23">
        <f>'2. Simulation'!E137-'1. Base'!E137</f>
        <v>1521.2047244241876</v>
      </c>
      <c r="F137" s="23">
        <f>'2. Simulation'!F137-'1. Base'!F137</f>
        <v>0</v>
      </c>
      <c r="G137" s="23">
        <f>'2. Simulation'!G137-'1. Base'!G137</f>
        <v>0</v>
      </c>
      <c r="H137" s="23">
        <f>'2. Simulation'!H137-'1. Base'!H137</f>
        <v>0</v>
      </c>
      <c r="I137" s="23">
        <f>'2. Simulation'!I137-'1. Base'!I137</f>
        <v>0</v>
      </c>
      <c r="J137" s="23">
        <f>'2. Simulation'!J137-'1. Base'!J137</f>
        <v>0</v>
      </c>
      <c r="K137" s="23">
        <f>'2. Simulation'!K137-'1. Base'!K137</f>
        <v>0</v>
      </c>
      <c r="L137" s="23">
        <f>'2. Simulation'!L137-'1. Base'!L137</f>
        <v>0</v>
      </c>
      <c r="M137" s="23">
        <f>'2. Simulation'!M137-'1. Base'!M137</f>
        <v>0</v>
      </c>
      <c r="N137" s="23">
        <f>'2. Simulation'!N137-'1. Base'!N137</f>
        <v>0</v>
      </c>
      <c r="O137" s="23">
        <f>'2. Simulation'!O137-'1. Base'!O137</f>
        <v>0</v>
      </c>
      <c r="P137" s="23">
        <f>'2. Simulation'!P137-'1. Base'!P137</f>
        <v>0</v>
      </c>
      <c r="Q137" s="23">
        <f>'2. Simulation'!Q137-'1. Base'!Q137</f>
        <v>0</v>
      </c>
      <c r="R137" s="23">
        <f>'2. Simulation'!R137-'1. Base'!R137</f>
        <v>0</v>
      </c>
      <c r="S137" s="23">
        <f>'2. Simulation'!S137-'1. Base'!S137</f>
        <v>0</v>
      </c>
      <c r="T137" s="23">
        <f>'2. Simulation'!T137-'1. Base'!T137</f>
        <v>0</v>
      </c>
      <c r="U137" s="23">
        <f>'2. Simulation'!U137-'1. Base'!U137</f>
        <v>0</v>
      </c>
      <c r="V137" s="23">
        <f>'2. Simulation'!V137-'1. Base'!V137</f>
        <v>0</v>
      </c>
      <c r="W137" s="23">
        <f>'2. Simulation'!W137-'1. Base'!W137</f>
        <v>0</v>
      </c>
      <c r="X137" s="23">
        <f>'2. Simulation'!X137-'1. Base'!X137</f>
        <v>0</v>
      </c>
      <c r="Y137" s="22">
        <f t="shared" si="14"/>
        <v>1521.2047244241876</v>
      </c>
      <c r="Z137" s="42" t="s">
        <v>193</v>
      </c>
    </row>
    <row r="138" spans="2:26" ht="15" customHeight="1" outlineLevel="1" x14ac:dyDescent="0.3">
      <c r="B138" s="35" t="s">
        <v>186</v>
      </c>
      <c r="C138" s="13" t="s">
        <v>96</v>
      </c>
      <c r="D138" s="13" t="s">
        <v>118</v>
      </c>
      <c r="E138" s="23">
        <f>'2. Simulation'!E138-'1. Base'!E138</f>
        <v>3990.5479607228626</v>
      </c>
      <c r="F138" s="23">
        <f>'2. Simulation'!F138-'1. Base'!F138</f>
        <v>0</v>
      </c>
      <c r="G138" s="23">
        <f>'2. Simulation'!G138-'1. Base'!G138</f>
        <v>0</v>
      </c>
      <c r="H138" s="23">
        <f>'2. Simulation'!H138-'1. Base'!H138</f>
        <v>0</v>
      </c>
      <c r="I138" s="23">
        <f>'2. Simulation'!I138-'1. Base'!I138</f>
        <v>0</v>
      </c>
      <c r="J138" s="23">
        <f>'2. Simulation'!J138-'1. Base'!J138</f>
        <v>0</v>
      </c>
      <c r="K138" s="23">
        <f>'2. Simulation'!K138-'1. Base'!K138</f>
        <v>0</v>
      </c>
      <c r="L138" s="23">
        <f>'2. Simulation'!L138-'1. Base'!L138</f>
        <v>0</v>
      </c>
      <c r="M138" s="23">
        <f>'2. Simulation'!M138-'1. Base'!M138</f>
        <v>0</v>
      </c>
      <c r="N138" s="23">
        <f>'2. Simulation'!N138-'1. Base'!N138</f>
        <v>0</v>
      </c>
      <c r="O138" s="23">
        <f>'2. Simulation'!O138-'1. Base'!O138</f>
        <v>0</v>
      </c>
      <c r="P138" s="23">
        <f>'2. Simulation'!P138-'1. Base'!P138</f>
        <v>0</v>
      </c>
      <c r="Q138" s="23">
        <f>'2. Simulation'!Q138-'1. Base'!Q138</f>
        <v>0</v>
      </c>
      <c r="R138" s="23">
        <f>'2. Simulation'!R138-'1. Base'!R138</f>
        <v>0</v>
      </c>
      <c r="S138" s="23">
        <f>'2. Simulation'!S138-'1. Base'!S138</f>
        <v>0</v>
      </c>
      <c r="T138" s="23">
        <f>'2. Simulation'!T138-'1. Base'!T138</f>
        <v>0</v>
      </c>
      <c r="U138" s="23">
        <f>'2. Simulation'!U138-'1. Base'!U138</f>
        <v>0</v>
      </c>
      <c r="V138" s="23">
        <f>'2. Simulation'!V138-'1. Base'!V138</f>
        <v>0</v>
      </c>
      <c r="W138" s="23">
        <f>'2. Simulation'!W138-'1. Base'!W138</f>
        <v>0</v>
      </c>
      <c r="X138" s="23">
        <f>'2. Simulation'!X138-'1. Base'!X138</f>
        <v>0</v>
      </c>
      <c r="Y138" s="22">
        <f t="shared" si="14"/>
        <v>3990.5479607228626</v>
      </c>
      <c r="Z138" s="42" t="s">
        <v>194</v>
      </c>
    </row>
    <row r="139" spans="2:26" ht="15" customHeight="1" x14ac:dyDescent="0.3"/>
    <row r="140" spans="2:26" ht="15" customHeight="1" x14ac:dyDescent="0.3">
      <c r="B140" s="5" t="s">
        <v>170</v>
      </c>
    </row>
    <row r="141" spans="2:26" ht="15" customHeight="1" x14ac:dyDescent="0.3">
      <c r="B141" s="6" t="s">
        <v>171</v>
      </c>
    </row>
    <row r="142" spans="2:26" ht="15" customHeight="1" outlineLevel="1" x14ac:dyDescent="0.3">
      <c r="B142" s="35" t="s">
        <v>186</v>
      </c>
      <c r="C142" s="13" t="s">
        <v>119</v>
      </c>
      <c r="D142" s="13" t="s">
        <v>120</v>
      </c>
      <c r="E142" s="23">
        <f>E78+E82+E85+E89+E92+E95+E98+E101+E104+E107+E136</f>
        <v>-632555.46882884961</v>
      </c>
      <c r="F142" s="23">
        <f t="shared" ref="F142:U143" si="15">F78+F82+F85+F89+F92+F95+F98+F101+F104+F107+F136</f>
        <v>0</v>
      </c>
      <c r="G142" s="23">
        <f t="shared" si="15"/>
        <v>0</v>
      </c>
      <c r="H142" s="23">
        <f t="shared" si="15"/>
        <v>0</v>
      </c>
      <c r="I142" s="23">
        <f t="shared" si="15"/>
        <v>0</v>
      </c>
      <c r="J142" s="23">
        <f t="shared" si="15"/>
        <v>0</v>
      </c>
      <c r="K142" s="23">
        <f t="shared" si="15"/>
        <v>0</v>
      </c>
      <c r="L142" s="23">
        <f t="shared" si="15"/>
        <v>0</v>
      </c>
      <c r="M142" s="23">
        <f t="shared" si="15"/>
        <v>0</v>
      </c>
      <c r="N142" s="23">
        <f t="shared" si="15"/>
        <v>0</v>
      </c>
      <c r="O142" s="23">
        <f t="shared" si="15"/>
        <v>0</v>
      </c>
      <c r="P142" s="23">
        <f t="shared" si="15"/>
        <v>0</v>
      </c>
      <c r="Q142" s="23">
        <f t="shared" si="15"/>
        <v>0</v>
      </c>
      <c r="R142" s="23">
        <f t="shared" si="15"/>
        <v>0</v>
      </c>
      <c r="S142" s="23">
        <f t="shared" si="15"/>
        <v>0</v>
      </c>
      <c r="T142" s="23">
        <f t="shared" si="15"/>
        <v>0</v>
      </c>
      <c r="U142" s="23">
        <f t="shared" si="15"/>
        <v>0</v>
      </c>
      <c r="V142" s="23">
        <f t="shared" ref="V142:X142" si="16">V78+V82+V85+V89+V92+V95+V98+V101+V104+V107+V136</f>
        <v>0</v>
      </c>
      <c r="W142" s="23">
        <f t="shared" si="16"/>
        <v>0</v>
      </c>
      <c r="X142" s="23">
        <f t="shared" si="16"/>
        <v>0</v>
      </c>
      <c r="Y142" s="22">
        <f t="shared" si="14"/>
        <v>-632555.46882884961</v>
      </c>
      <c r="Z142" s="42" t="s">
        <v>192</v>
      </c>
    </row>
    <row r="143" spans="2:26" ht="15" customHeight="1" outlineLevel="1" x14ac:dyDescent="0.3">
      <c r="B143" s="35" t="s">
        <v>186</v>
      </c>
      <c r="C143" s="13" t="s">
        <v>119</v>
      </c>
      <c r="D143" s="13" t="s">
        <v>121</v>
      </c>
      <c r="E143" s="23">
        <f>E79+E83+E86+E90+E93+E96+E99+E102+E105+E108+E137</f>
        <v>-81920.404632176796</v>
      </c>
      <c r="F143" s="23">
        <f t="shared" si="15"/>
        <v>0</v>
      </c>
      <c r="G143" s="23">
        <f t="shared" si="15"/>
        <v>0</v>
      </c>
      <c r="H143" s="23">
        <f t="shared" si="15"/>
        <v>0</v>
      </c>
      <c r="I143" s="23">
        <f t="shared" si="15"/>
        <v>0</v>
      </c>
      <c r="J143" s="23">
        <f t="shared" si="15"/>
        <v>0</v>
      </c>
      <c r="K143" s="23">
        <f t="shared" si="15"/>
        <v>0</v>
      </c>
      <c r="L143" s="23">
        <f t="shared" si="15"/>
        <v>0</v>
      </c>
      <c r="M143" s="23">
        <f t="shared" si="15"/>
        <v>0</v>
      </c>
      <c r="N143" s="23">
        <f t="shared" si="15"/>
        <v>0</v>
      </c>
      <c r="O143" s="23">
        <f t="shared" si="15"/>
        <v>0</v>
      </c>
      <c r="P143" s="23">
        <f t="shared" si="15"/>
        <v>0</v>
      </c>
      <c r="Q143" s="23">
        <f t="shared" si="15"/>
        <v>0</v>
      </c>
      <c r="R143" s="23">
        <f t="shared" si="15"/>
        <v>0</v>
      </c>
      <c r="S143" s="23">
        <f t="shared" si="15"/>
        <v>0</v>
      </c>
      <c r="T143" s="23">
        <f t="shared" si="15"/>
        <v>0</v>
      </c>
      <c r="U143" s="23">
        <f t="shared" si="15"/>
        <v>0</v>
      </c>
      <c r="V143" s="23">
        <f t="shared" ref="V143:X143" si="17">V79+V83+V86+V90+V93+V96+V99+V102+V105+V108+V137</f>
        <v>0</v>
      </c>
      <c r="W143" s="23">
        <f t="shared" si="17"/>
        <v>0</v>
      </c>
      <c r="X143" s="23">
        <f t="shared" si="17"/>
        <v>0</v>
      </c>
      <c r="Y143" s="22">
        <f t="shared" si="14"/>
        <v>-81920.404632176796</v>
      </c>
      <c r="Z143" s="42" t="s">
        <v>193</v>
      </c>
    </row>
    <row r="144" spans="2:26" ht="15" customHeight="1" outlineLevel="1" x14ac:dyDescent="0.3">
      <c r="B144" s="35" t="s">
        <v>186</v>
      </c>
      <c r="C144" s="13" t="s">
        <v>119</v>
      </c>
      <c r="D144" s="13" t="s">
        <v>122</v>
      </c>
      <c r="E144" s="23">
        <f>E80-E81+E84+E87+E88+E91+E94+E97+E100+E103+E106+E109+E138</f>
        <v>-16317.584154915166</v>
      </c>
      <c r="F144" s="23">
        <f t="shared" ref="F144:U144" si="18">F80-F81+F84+F87+F88+F91+F94+F97+F100+F103+F106+F109+F138</f>
        <v>0</v>
      </c>
      <c r="G144" s="23">
        <f t="shared" si="18"/>
        <v>0</v>
      </c>
      <c r="H144" s="23">
        <f t="shared" si="18"/>
        <v>0</v>
      </c>
      <c r="I144" s="23">
        <f t="shared" si="18"/>
        <v>0</v>
      </c>
      <c r="J144" s="23">
        <f t="shared" si="18"/>
        <v>0</v>
      </c>
      <c r="K144" s="23">
        <f t="shared" si="18"/>
        <v>0</v>
      </c>
      <c r="L144" s="23">
        <f t="shared" si="18"/>
        <v>0</v>
      </c>
      <c r="M144" s="23">
        <f t="shared" si="18"/>
        <v>0</v>
      </c>
      <c r="N144" s="23">
        <f t="shared" si="18"/>
        <v>0</v>
      </c>
      <c r="O144" s="23">
        <f t="shared" si="18"/>
        <v>0</v>
      </c>
      <c r="P144" s="23">
        <f t="shared" si="18"/>
        <v>0</v>
      </c>
      <c r="Q144" s="23">
        <f t="shared" si="18"/>
        <v>0</v>
      </c>
      <c r="R144" s="23">
        <f t="shared" si="18"/>
        <v>0</v>
      </c>
      <c r="S144" s="23">
        <f t="shared" si="18"/>
        <v>0</v>
      </c>
      <c r="T144" s="23">
        <f t="shared" si="18"/>
        <v>0</v>
      </c>
      <c r="U144" s="23">
        <f t="shared" si="18"/>
        <v>0</v>
      </c>
      <c r="V144" s="23">
        <f t="shared" ref="V144:X144" si="19">V80-V81+V84+V87+V88+V91+V94+V97+V100+V103+V106+V109+V138</f>
        <v>0</v>
      </c>
      <c r="W144" s="23">
        <f t="shared" si="19"/>
        <v>0</v>
      </c>
      <c r="X144" s="23">
        <f t="shared" si="19"/>
        <v>0</v>
      </c>
      <c r="Y144" s="22">
        <f t="shared" si="14"/>
        <v>-16317.584154915166</v>
      </c>
      <c r="Z144" s="42" t="s">
        <v>194</v>
      </c>
    </row>
    <row r="145" spans="2:26" ht="15" customHeight="1" outlineLevel="1" x14ac:dyDescent="0.3">
      <c r="B145" s="35" t="s">
        <v>186</v>
      </c>
      <c r="C145" s="13" t="s">
        <v>119</v>
      </c>
      <c r="D145" s="13" t="s">
        <v>160</v>
      </c>
      <c r="E145" s="24">
        <f>SUM(E142:E144)</f>
        <v>-730793.45761594165</v>
      </c>
      <c r="F145" s="24">
        <f t="shared" ref="F145:U145" si="20">SUM(F142:F144)</f>
        <v>0</v>
      </c>
      <c r="G145" s="24">
        <f t="shared" si="20"/>
        <v>0</v>
      </c>
      <c r="H145" s="24">
        <f t="shared" si="20"/>
        <v>0</v>
      </c>
      <c r="I145" s="24">
        <f t="shared" si="20"/>
        <v>0</v>
      </c>
      <c r="J145" s="24">
        <f t="shared" si="20"/>
        <v>0</v>
      </c>
      <c r="K145" s="24">
        <f t="shared" si="20"/>
        <v>0</v>
      </c>
      <c r="L145" s="24">
        <f t="shared" si="20"/>
        <v>0</v>
      </c>
      <c r="M145" s="24">
        <f t="shared" si="20"/>
        <v>0</v>
      </c>
      <c r="N145" s="24">
        <f t="shared" si="20"/>
        <v>0</v>
      </c>
      <c r="O145" s="24">
        <f t="shared" si="20"/>
        <v>0</v>
      </c>
      <c r="P145" s="24">
        <f t="shared" si="20"/>
        <v>0</v>
      </c>
      <c r="Q145" s="24">
        <f t="shared" si="20"/>
        <v>0</v>
      </c>
      <c r="R145" s="24">
        <f t="shared" si="20"/>
        <v>0</v>
      </c>
      <c r="S145" s="24">
        <f t="shared" si="20"/>
        <v>0</v>
      </c>
      <c r="T145" s="24">
        <f t="shared" si="20"/>
        <v>0</v>
      </c>
      <c r="U145" s="24">
        <f t="shared" si="20"/>
        <v>0</v>
      </c>
      <c r="V145" s="24">
        <f t="shared" ref="V145:X145" si="21">SUM(V142:V144)</f>
        <v>0</v>
      </c>
      <c r="W145" s="24">
        <f t="shared" si="21"/>
        <v>0</v>
      </c>
      <c r="X145" s="24">
        <f t="shared" si="21"/>
        <v>0</v>
      </c>
      <c r="Y145" s="24">
        <f t="shared" ref="Y145:Y146" si="22">SUM(E145:X145)</f>
        <v>-730793.45761594165</v>
      </c>
      <c r="Z145" s="42" t="s">
        <v>195</v>
      </c>
    </row>
    <row r="146" spans="2:26" ht="15" customHeight="1" outlineLevel="1" x14ac:dyDescent="0.3">
      <c r="B146" s="35" t="s">
        <v>186</v>
      </c>
      <c r="C146" s="13" t="s">
        <v>119</v>
      </c>
      <c r="D146" s="13" t="s">
        <v>161</v>
      </c>
      <c r="E146" s="24">
        <f>E142+E143*1.5+E144*3</f>
        <v>-804388.82824186038</v>
      </c>
      <c r="F146" s="24">
        <f t="shared" ref="F146:U146" si="23">F142+F143*1.5+F144*3</f>
        <v>0</v>
      </c>
      <c r="G146" s="24">
        <f t="shared" si="23"/>
        <v>0</v>
      </c>
      <c r="H146" s="24">
        <f t="shared" si="23"/>
        <v>0</v>
      </c>
      <c r="I146" s="24">
        <f t="shared" si="23"/>
        <v>0</v>
      </c>
      <c r="J146" s="24">
        <f t="shared" si="23"/>
        <v>0</v>
      </c>
      <c r="K146" s="24">
        <f t="shared" si="23"/>
        <v>0</v>
      </c>
      <c r="L146" s="24">
        <f t="shared" si="23"/>
        <v>0</v>
      </c>
      <c r="M146" s="24">
        <f t="shared" si="23"/>
        <v>0</v>
      </c>
      <c r="N146" s="24">
        <f t="shared" si="23"/>
        <v>0</v>
      </c>
      <c r="O146" s="24">
        <f t="shared" si="23"/>
        <v>0</v>
      </c>
      <c r="P146" s="24">
        <f t="shared" si="23"/>
        <v>0</v>
      </c>
      <c r="Q146" s="24">
        <f t="shared" si="23"/>
        <v>0</v>
      </c>
      <c r="R146" s="24">
        <f t="shared" si="23"/>
        <v>0</v>
      </c>
      <c r="S146" s="24">
        <f t="shared" si="23"/>
        <v>0</v>
      </c>
      <c r="T146" s="24">
        <f t="shared" si="23"/>
        <v>0</v>
      </c>
      <c r="U146" s="24">
        <f t="shared" si="23"/>
        <v>0</v>
      </c>
      <c r="V146" s="24">
        <f t="shared" ref="V146:X146" si="24">V142+V143*1.5+V144*3</f>
        <v>0</v>
      </c>
      <c r="W146" s="24">
        <f t="shared" si="24"/>
        <v>0</v>
      </c>
      <c r="X146" s="24">
        <f t="shared" si="24"/>
        <v>0</v>
      </c>
      <c r="Y146" s="24">
        <f t="shared" si="22"/>
        <v>-804388.82824186038</v>
      </c>
      <c r="Z146" s="42" t="s">
        <v>196</v>
      </c>
    </row>
    <row r="147" spans="2:26" ht="15" customHeight="1" x14ac:dyDescent="0.3">
      <c r="B147" s="6" t="s">
        <v>172</v>
      </c>
    </row>
    <row r="148" spans="2:26" ht="15" customHeight="1" outlineLevel="1" x14ac:dyDescent="0.3">
      <c r="B148" s="35" t="s">
        <v>186</v>
      </c>
      <c r="C148" s="13" t="s">
        <v>119</v>
      </c>
      <c r="D148" s="13" t="s">
        <v>123</v>
      </c>
      <c r="E148" s="24">
        <f>E142*24</f>
        <v>-15181331.251892392</v>
      </c>
      <c r="F148" s="24">
        <f t="shared" ref="F148:U150" si="25">F142*24</f>
        <v>0</v>
      </c>
      <c r="G148" s="24">
        <f t="shared" si="25"/>
        <v>0</v>
      </c>
      <c r="H148" s="24">
        <f t="shared" si="25"/>
        <v>0</v>
      </c>
      <c r="I148" s="24">
        <f t="shared" si="25"/>
        <v>0</v>
      </c>
      <c r="J148" s="24">
        <f t="shared" si="25"/>
        <v>0</v>
      </c>
      <c r="K148" s="24">
        <f t="shared" si="25"/>
        <v>0</v>
      </c>
      <c r="L148" s="24">
        <f t="shared" si="25"/>
        <v>0</v>
      </c>
      <c r="M148" s="24">
        <f t="shared" si="25"/>
        <v>0</v>
      </c>
      <c r="N148" s="24">
        <f t="shared" si="25"/>
        <v>0</v>
      </c>
      <c r="O148" s="24">
        <f t="shared" si="25"/>
        <v>0</v>
      </c>
      <c r="P148" s="24">
        <f t="shared" si="25"/>
        <v>0</v>
      </c>
      <c r="Q148" s="24">
        <f t="shared" si="25"/>
        <v>0</v>
      </c>
      <c r="R148" s="24">
        <f t="shared" si="25"/>
        <v>0</v>
      </c>
      <c r="S148" s="24">
        <f t="shared" si="25"/>
        <v>0</v>
      </c>
      <c r="T148" s="24">
        <f t="shared" si="25"/>
        <v>0</v>
      </c>
      <c r="U148" s="24">
        <f t="shared" si="25"/>
        <v>0</v>
      </c>
      <c r="V148" s="24">
        <f t="shared" ref="V148:X148" si="26">V142*24</f>
        <v>0</v>
      </c>
      <c r="W148" s="24">
        <f t="shared" si="26"/>
        <v>0</v>
      </c>
      <c r="X148" s="24">
        <f t="shared" si="26"/>
        <v>0</v>
      </c>
      <c r="Y148" s="40">
        <f>SUM(E148:X148)</f>
        <v>-15181331.251892392</v>
      </c>
      <c r="Z148" s="42" t="s">
        <v>192</v>
      </c>
    </row>
    <row r="149" spans="2:26" ht="15" customHeight="1" outlineLevel="1" x14ac:dyDescent="0.3">
      <c r="B149" s="35" t="s">
        <v>186</v>
      </c>
      <c r="C149" s="13" t="s">
        <v>119</v>
      </c>
      <c r="D149" s="13" t="s">
        <v>124</v>
      </c>
      <c r="E149" s="24">
        <f>E143*24</f>
        <v>-1966089.7111722431</v>
      </c>
      <c r="F149" s="24">
        <f t="shared" si="25"/>
        <v>0</v>
      </c>
      <c r="G149" s="24">
        <f t="shared" si="25"/>
        <v>0</v>
      </c>
      <c r="H149" s="24">
        <f t="shared" si="25"/>
        <v>0</v>
      </c>
      <c r="I149" s="24">
        <f t="shared" si="25"/>
        <v>0</v>
      </c>
      <c r="J149" s="24">
        <f t="shared" si="25"/>
        <v>0</v>
      </c>
      <c r="K149" s="24">
        <f t="shared" si="25"/>
        <v>0</v>
      </c>
      <c r="L149" s="24">
        <f t="shared" si="25"/>
        <v>0</v>
      </c>
      <c r="M149" s="24">
        <f t="shared" si="25"/>
        <v>0</v>
      </c>
      <c r="N149" s="24">
        <f t="shared" si="25"/>
        <v>0</v>
      </c>
      <c r="O149" s="24">
        <f t="shared" si="25"/>
        <v>0</v>
      </c>
      <c r="P149" s="24">
        <f t="shared" si="25"/>
        <v>0</v>
      </c>
      <c r="Q149" s="24">
        <f t="shared" si="25"/>
        <v>0</v>
      </c>
      <c r="R149" s="24">
        <f t="shared" si="25"/>
        <v>0</v>
      </c>
      <c r="S149" s="24">
        <f t="shared" si="25"/>
        <v>0</v>
      </c>
      <c r="T149" s="24">
        <f t="shared" si="25"/>
        <v>0</v>
      </c>
      <c r="U149" s="24">
        <f t="shared" si="25"/>
        <v>0</v>
      </c>
      <c r="V149" s="24">
        <f t="shared" ref="V149:X149" si="27">V143*24</f>
        <v>0</v>
      </c>
      <c r="W149" s="24">
        <f t="shared" si="27"/>
        <v>0</v>
      </c>
      <c r="X149" s="24">
        <f t="shared" si="27"/>
        <v>0</v>
      </c>
      <c r="Y149" s="40">
        <f t="shared" ref="Y149:Y151" si="28">SUM(E149:X149)</f>
        <v>-1966089.7111722431</v>
      </c>
      <c r="Z149" s="42" t="s">
        <v>193</v>
      </c>
    </row>
    <row r="150" spans="2:26" ht="15" customHeight="1" outlineLevel="1" x14ac:dyDescent="0.3">
      <c r="B150" s="35" t="s">
        <v>186</v>
      </c>
      <c r="C150" s="13" t="s">
        <v>119</v>
      </c>
      <c r="D150" s="13" t="s">
        <v>125</v>
      </c>
      <c r="E150" s="24">
        <f>E144*24</f>
        <v>-391622.01971796399</v>
      </c>
      <c r="F150" s="24">
        <f t="shared" si="25"/>
        <v>0</v>
      </c>
      <c r="G150" s="24">
        <f t="shared" si="25"/>
        <v>0</v>
      </c>
      <c r="H150" s="24">
        <f t="shared" si="25"/>
        <v>0</v>
      </c>
      <c r="I150" s="24">
        <f t="shared" si="25"/>
        <v>0</v>
      </c>
      <c r="J150" s="24">
        <f t="shared" si="25"/>
        <v>0</v>
      </c>
      <c r="K150" s="24">
        <f t="shared" si="25"/>
        <v>0</v>
      </c>
      <c r="L150" s="24">
        <f t="shared" si="25"/>
        <v>0</v>
      </c>
      <c r="M150" s="24">
        <f t="shared" si="25"/>
        <v>0</v>
      </c>
      <c r="N150" s="24">
        <f t="shared" si="25"/>
        <v>0</v>
      </c>
      <c r="O150" s="24">
        <f t="shared" si="25"/>
        <v>0</v>
      </c>
      <c r="P150" s="24">
        <f t="shared" si="25"/>
        <v>0</v>
      </c>
      <c r="Q150" s="24">
        <f t="shared" si="25"/>
        <v>0</v>
      </c>
      <c r="R150" s="24">
        <f t="shared" si="25"/>
        <v>0</v>
      </c>
      <c r="S150" s="24">
        <f t="shared" si="25"/>
        <v>0</v>
      </c>
      <c r="T150" s="24">
        <f t="shared" si="25"/>
        <v>0</v>
      </c>
      <c r="U150" s="24">
        <f t="shared" si="25"/>
        <v>0</v>
      </c>
      <c r="V150" s="24">
        <f t="shared" ref="V150:X150" si="29">V144*24</f>
        <v>0</v>
      </c>
      <c r="W150" s="24">
        <f t="shared" si="29"/>
        <v>0</v>
      </c>
      <c r="X150" s="24">
        <f t="shared" si="29"/>
        <v>0</v>
      </c>
      <c r="Y150" s="40">
        <f t="shared" si="28"/>
        <v>-391622.01971796399</v>
      </c>
      <c r="Z150" s="42" t="s">
        <v>194</v>
      </c>
    </row>
    <row r="151" spans="2:26" ht="15" customHeight="1" outlineLevel="1" x14ac:dyDescent="0.3">
      <c r="B151" s="35" t="s">
        <v>186</v>
      </c>
      <c r="C151" s="13" t="s">
        <v>119</v>
      </c>
      <c r="D151" s="13" t="s">
        <v>162</v>
      </c>
      <c r="E151" s="24">
        <f>SUM(E148:E150)</f>
        <v>-17539042.982782599</v>
      </c>
      <c r="F151" s="24">
        <f t="shared" ref="F151:U151" si="30">SUM(F148:F150)</f>
        <v>0</v>
      </c>
      <c r="G151" s="24">
        <f t="shared" si="30"/>
        <v>0</v>
      </c>
      <c r="H151" s="24">
        <f t="shared" si="30"/>
        <v>0</v>
      </c>
      <c r="I151" s="24">
        <f t="shared" si="30"/>
        <v>0</v>
      </c>
      <c r="J151" s="24">
        <f t="shared" si="30"/>
        <v>0</v>
      </c>
      <c r="K151" s="24">
        <f t="shared" si="30"/>
        <v>0</v>
      </c>
      <c r="L151" s="24">
        <f t="shared" si="30"/>
        <v>0</v>
      </c>
      <c r="M151" s="24">
        <f t="shared" si="30"/>
        <v>0</v>
      </c>
      <c r="N151" s="24">
        <f t="shared" si="30"/>
        <v>0</v>
      </c>
      <c r="O151" s="24">
        <f t="shared" si="30"/>
        <v>0</v>
      </c>
      <c r="P151" s="24">
        <f t="shared" si="30"/>
        <v>0</v>
      </c>
      <c r="Q151" s="24">
        <f t="shared" si="30"/>
        <v>0</v>
      </c>
      <c r="R151" s="24">
        <f t="shared" si="30"/>
        <v>0</v>
      </c>
      <c r="S151" s="24">
        <f t="shared" si="30"/>
        <v>0</v>
      </c>
      <c r="T151" s="24">
        <f t="shared" si="30"/>
        <v>0</v>
      </c>
      <c r="U151" s="24">
        <f t="shared" si="30"/>
        <v>0</v>
      </c>
      <c r="V151" s="24">
        <f t="shared" ref="V151:X151" si="31">SUM(V148:V150)</f>
        <v>0</v>
      </c>
      <c r="W151" s="24">
        <f t="shared" si="31"/>
        <v>0</v>
      </c>
      <c r="X151" s="24">
        <f t="shared" si="31"/>
        <v>0</v>
      </c>
      <c r="Y151" s="41">
        <f t="shared" si="28"/>
        <v>-17539042.982782599</v>
      </c>
      <c r="Z151" s="42" t="s">
        <v>195</v>
      </c>
    </row>
    <row r="152" spans="2:26" ht="15" customHeight="1" outlineLevel="1" x14ac:dyDescent="0.3">
      <c r="B152" s="35" t="s">
        <v>186</v>
      </c>
      <c r="C152" s="13" t="s">
        <v>119</v>
      </c>
      <c r="D152" s="13" t="s">
        <v>163</v>
      </c>
      <c r="E152" s="24">
        <f>E148+E149*1.5+E150*3</f>
        <v>-19305331.877804648</v>
      </c>
      <c r="F152" s="24">
        <f t="shared" ref="F152:U152" si="32">F148+F149*1.5+F150*3</f>
        <v>0</v>
      </c>
      <c r="G152" s="24">
        <f t="shared" si="32"/>
        <v>0</v>
      </c>
      <c r="H152" s="24">
        <f t="shared" si="32"/>
        <v>0</v>
      </c>
      <c r="I152" s="24">
        <f t="shared" si="32"/>
        <v>0</v>
      </c>
      <c r="J152" s="24">
        <f t="shared" si="32"/>
        <v>0</v>
      </c>
      <c r="K152" s="24">
        <f t="shared" si="32"/>
        <v>0</v>
      </c>
      <c r="L152" s="24">
        <f t="shared" si="32"/>
        <v>0</v>
      </c>
      <c r="M152" s="24">
        <f t="shared" si="32"/>
        <v>0</v>
      </c>
      <c r="N152" s="24">
        <f t="shared" si="32"/>
        <v>0</v>
      </c>
      <c r="O152" s="24">
        <f t="shared" si="32"/>
        <v>0</v>
      </c>
      <c r="P152" s="24">
        <f t="shared" si="32"/>
        <v>0</v>
      </c>
      <c r="Q152" s="24">
        <f t="shared" si="32"/>
        <v>0</v>
      </c>
      <c r="R152" s="24">
        <f t="shared" si="32"/>
        <v>0</v>
      </c>
      <c r="S152" s="24">
        <f t="shared" si="32"/>
        <v>0</v>
      </c>
      <c r="T152" s="24">
        <f t="shared" si="32"/>
        <v>0</v>
      </c>
      <c r="U152" s="24">
        <f t="shared" si="32"/>
        <v>0</v>
      </c>
      <c r="V152" s="24">
        <f t="shared" ref="V152:X152" si="33">V148+V149*1.5+V150*3</f>
        <v>0</v>
      </c>
      <c r="W152" s="24">
        <f t="shared" si="33"/>
        <v>0</v>
      </c>
      <c r="X152" s="24">
        <f t="shared" si="33"/>
        <v>0</v>
      </c>
      <c r="Y152" s="41">
        <f>SUM(E152:X152)</f>
        <v>-19305331.877804648</v>
      </c>
      <c r="Z152" s="42" t="s">
        <v>196</v>
      </c>
    </row>
    <row r="153" spans="2:26" ht="15" customHeight="1" x14ac:dyDescent="0.3">
      <c r="B153" s="6" t="s">
        <v>173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2:26" ht="15" customHeight="1" outlineLevel="1" x14ac:dyDescent="0.3">
      <c r="B154" s="35" t="s">
        <v>186</v>
      </c>
      <c r="C154" s="13" t="s">
        <v>119</v>
      </c>
      <c r="D154" s="13" t="s">
        <v>126</v>
      </c>
      <c r="E154" s="24">
        <f>E148*7</f>
        <v>-106269318.76324674</v>
      </c>
      <c r="F154" s="24">
        <f t="shared" ref="F154:U156" si="34">F148*7</f>
        <v>0</v>
      </c>
      <c r="G154" s="24">
        <f t="shared" si="34"/>
        <v>0</v>
      </c>
      <c r="H154" s="24">
        <f t="shared" si="34"/>
        <v>0</v>
      </c>
      <c r="I154" s="24">
        <f t="shared" si="34"/>
        <v>0</v>
      </c>
      <c r="J154" s="24">
        <f t="shared" si="34"/>
        <v>0</v>
      </c>
      <c r="K154" s="24">
        <f t="shared" si="34"/>
        <v>0</v>
      </c>
      <c r="L154" s="24">
        <f t="shared" si="34"/>
        <v>0</v>
      </c>
      <c r="M154" s="24">
        <f t="shared" si="34"/>
        <v>0</v>
      </c>
      <c r="N154" s="24">
        <f t="shared" si="34"/>
        <v>0</v>
      </c>
      <c r="O154" s="24">
        <f t="shared" si="34"/>
        <v>0</v>
      </c>
      <c r="P154" s="24">
        <f t="shared" si="34"/>
        <v>0</v>
      </c>
      <c r="Q154" s="24">
        <f t="shared" si="34"/>
        <v>0</v>
      </c>
      <c r="R154" s="24">
        <f t="shared" si="34"/>
        <v>0</v>
      </c>
      <c r="S154" s="24">
        <f t="shared" si="34"/>
        <v>0</v>
      </c>
      <c r="T154" s="24">
        <f t="shared" si="34"/>
        <v>0</v>
      </c>
      <c r="U154" s="24">
        <f t="shared" si="34"/>
        <v>0</v>
      </c>
      <c r="V154" s="24">
        <f t="shared" ref="V154:X154" si="35">V148*7</f>
        <v>0</v>
      </c>
      <c r="W154" s="24">
        <f t="shared" si="35"/>
        <v>0</v>
      </c>
      <c r="X154" s="24">
        <f t="shared" si="35"/>
        <v>0</v>
      </c>
      <c r="Y154" s="24">
        <f t="shared" ref="Y154:Y158" si="36">SUM(E154:X154)</f>
        <v>-106269318.76324674</v>
      </c>
      <c r="Z154" s="42" t="s">
        <v>192</v>
      </c>
    </row>
    <row r="155" spans="2:26" ht="15" customHeight="1" outlineLevel="1" x14ac:dyDescent="0.3">
      <c r="B155" s="35" t="s">
        <v>186</v>
      </c>
      <c r="C155" s="13" t="s">
        <v>119</v>
      </c>
      <c r="D155" s="13" t="s">
        <v>127</v>
      </c>
      <c r="E155" s="24">
        <f t="shared" ref="E155:E156" si="37">E149*7</f>
        <v>-13762627.978205701</v>
      </c>
      <c r="F155" s="24">
        <f t="shared" si="34"/>
        <v>0</v>
      </c>
      <c r="G155" s="24">
        <f t="shared" si="34"/>
        <v>0</v>
      </c>
      <c r="H155" s="24">
        <f t="shared" si="34"/>
        <v>0</v>
      </c>
      <c r="I155" s="24">
        <f t="shared" si="34"/>
        <v>0</v>
      </c>
      <c r="J155" s="24">
        <f t="shared" si="34"/>
        <v>0</v>
      </c>
      <c r="K155" s="24">
        <f t="shared" si="34"/>
        <v>0</v>
      </c>
      <c r="L155" s="24">
        <f t="shared" si="34"/>
        <v>0</v>
      </c>
      <c r="M155" s="24">
        <f t="shared" si="34"/>
        <v>0</v>
      </c>
      <c r="N155" s="24">
        <f t="shared" si="34"/>
        <v>0</v>
      </c>
      <c r="O155" s="24">
        <f t="shared" si="34"/>
        <v>0</v>
      </c>
      <c r="P155" s="24">
        <f t="shared" si="34"/>
        <v>0</v>
      </c>
      <c r="Q155" s="24">
        <f t="shared" si="34"/>
        <v>0</v>
      </c>
      <c r="R155" s="24">
        <f t="shared" si="34"/>
        <v>0</v>
      </c>
      <c r="S155" s="24">
        <f t="shared" si="34"/>
        <v>0</v>
      </c>
      <c r="T155" s="24">
        <f t="shared" si="34"/>
        <v>0</v>
      </c>
      <c r="U155" s="24">
        <f t="shared" si="34"/>
        <v>0</v>
      </c>
      <c r="V155" s="24">
        <f t="shared" ref="V155:X155" si="38">V149*7</f>
        <v>0</v>
      </c>
      <c r="W155" s="24">
        <f t="shared" si="38"/>
        <v>0</v>
      </c>
      <c r="X155" s="24">
        <f t="shared" si="38"/>
        <v>0</v>
      </c>
      <c r="Y155" s="24">
        <f t="shared" si="36"/>
        <v>-13762627.978205701</v>
      </c>
      <c r="Z155" s="42" t="s">
        <v>193</v>
      </c>
    </row>
    <row r="156" spans="2:26" ht="15" customHeight="1" outlineLevel="1" x14ac:dyDescent="0.3">
      <c r="B156" s="35" t="s">
        <v>186</v>
      </c>
      <c r="C156" s="13" t="s">
        <v>119</v>
      </c>
      <c r="D156" s="13" t="s">
        <v>128</v>
      </c>
      <c r="E156" s="24">
        <f t="shared" si="37"/>
        <v>-2741354.1380257481</v>
      </c>
      <c r="F156" s="24">
        <f t="shared" si="34"/>
        <v>0</v>
      </c>
      <c r="G156" s="24">
        <f t="shared" si="34"/>
        <v>0</v>
      </c>
      <c r="H156" s="24">
        <f t="shared" si="34"/>
        <v>0</v>
      </c>
      <c r="I156" s="24">
        <f t="shared" si="34"/>
        <v>0</v>
      </c>
      <c r="J156" s="24">
        <f t="shared" si="34"/>
        <v>0</v>
      </c>
      <c r="K156" s="24">
        <f t="shared" si="34"/>
        <v>0</v>
      </c>
      <c r="L156" s="24">
        <f t="shared" si="34"/>
        <v>0</v>
      </c>
      <c r="M156" s="24">
        <f t="shared" si="34"/>
        <v>0</v>
      </c>
      <c r="N156" s="24">
        <f t="shared" si="34"/>
        <v>0</v>
      </c>
      <c r="O156" s="24">
        <f t="shared" si="34"/>
        <v>0</v>
      </c>
      <c r="P156" s="24">
        <f t="shared" si="34"/>
        <v>0</v>
      </c>
      <c r="Q156" s="24">
        <f t="shared" si="34"/>
        <v>0</v>
      </c>
      <c r="R156" s="24">
        <f t="shared" si="34"/>
        <v>0</v>
      </c>
      <c r="S156" s="24">
        <f t="shared" si="34"/>
        <v>0</v>
      </c>
      <c r="T156" s="24">
        <f t="shared" si="34"/>
        <v>0</v>
      </c>
      <c r="U156" s="24">
        <f t="shared" si="34"/>
        <v>0</v>
      </c>
      <c r="V156" s="24">
        <f t="shared" ref="V156:X156" si="39">V150*7</f>
        <v>0</v>
      </c>
      <c r="W156" s="24">
        <f t="shared" si="39"/>
        <v>0</v>
      </c>
      <c r="X156" s="24">
        <f t="shared" si="39"/>
        <v>0</v>
      </c>
      <c r="Y156" s="24">
        <f t="shared" si="36"/>
        <v>-2741354.1380257481</v>
      </c>
      <c r="Z156" s="42" t="s">
        <v>194</v>
      </c>
    </row>
    <row r="157" spans="2:26" ht="15" customHeight="1" outlineLevel="1" x14ac:dyDescent="0.3">
      <c r="B157" s="35" t="s">
        <v>186</v>
      </c>
      <c r="C157" s="13" t="s">
        <v>119</v>
      </c>
      <c r="D157" s="13" t="s">
        <v>164</v>
      </c>
      <c r="E157" s="25">
        <f>SUM(E154:E156)</f>
        <v>-122773300.87947819</v>
      </c>
      <c r="F157" s="25">
        <f t="shared" ref="F157:U157" si="40">SUM(F154:F156)</f>
        <v>0</v>
      </c>
      <c r="G157" s="25">
        <f t="shared" si="40"/>
        <v>0</v>
      </c>
      <c r="H157" s="25">
        <f t="shared" si="40"/>
        <v>0</v>
      </c>
      <c r="I157" s="25">
        <f t="shared" si="40"/>
        <v>0</v>
      </c>
      <c r="J157" s="25">
        <f t="shared" si="40"/>
        <v>0</v>
      </c>
      <c r="K157" s="25">
        <f t="shared" si="40"/>
        <v>0</v>
      </c>
      <c r="L157" s="25">
        <f t="shared" si="40"/>
        <v>0</v>
      </c>
      <c r="M157" s="25">
        <f t="shared" si="40"/>
        <v>0</v>
      </c>
      <c r="N157" s="25">
        <f t="shared" si="40"/>
        <v>0</v>
      </c>
      <c r="O157" s="25">
        <f t="shared" si="40"/>
        <v>0</v>
      </c>
      <c r="P157" s="25">
        <f t="shared" si="40"/>
        <v>0</v>
      </c>
      <c r="Q157" s="25">
        <f t="shared" si="40"/>
        <v>0</v>
      </c>
      <c r="R157" s="25">
        <f t="shared" si="40"/>
        <v>0</v>
      </c>
      <c r="S157" s="25">
        <f t="shared" si="40"/>
        <v>0</v>
      </c>
      <c r="T157" s="25">
        <f t="shared" si="40"/>
        <v>0</v>
      </c>
      <c r="U157" s="25">
        <f t="shared" si="40"/>
        <v>0</v>
      </c>
      <c r="V157" s="25">
        <f t="shared" ref="V157:X157" si="41">SUM(V154:V156)</f>
        <v>0</v>
      </c>
      <c r="W157" s="25">
        <f t="shared" si="41"/>
        <v>0</v>
      </c>
      <c r="X157" s="25">
        <f t="shared" si="41"/>
        <v>0</v>
      </c>
      <c r="Y157" s="25">
        <f t="shared" si="36"/>
        <v>-122773300.87947819</v>
      </c>
      <c r="Z157" s="42" t="s">
        <v>195</v>
      </c>
    </row>
    <row r="158" spans="2:26" ht="15" customHeight="1" outlineLevel="1" x14ac:dyDescent="0.3">
      <c r="B158" s="35" t="s">
        <v>186</v>
      </c>
      <c r="C158" s="13" t="s">
        <v>119</v>
      </c>
      <c r="D158" s="13" t="s">
        <v>165</v>
      </c>
      <c r="E158" s="25">
        <f>E154+E155*1.5+E156*3</f>
        <v>-135137323.14463255</v>
      </c>
      <c r="F158" s="25">
        <f t="shared" ref="F158:U158" si="42">F154+F155*1.5+F156*3</f>
        <v>0</v>
      </c>
      <c r="G158" s="25">
        <f t="shared" si="42"/>
        <v>0</v>
      </c>
      <c r="H158" s="25">
        <f t="shared" si="42"/>
        <v>0</v>
      </c>
      <c r="I158" s="25">
        <f t="shared" si="42"/>
        <v>0</v>
      </c>
      <c r="J158" s="25">
        <f t="shared" si="42"/>
        <v>0</v>
      </c>
      <c r="K158" s="25">
        <f t="shared" si="42"/>
        <v>0</v>
      </c>
      <c r="L158" s="25">
        <f t="shared" si="42"/>
        <v>0</v>
      </c>
      <c r="M158" s="25">
        <f t="shared" si="42"/>
        <v>0</v>
      </c>
      <c r="N158" s="25">
        <f t="shared" si="42"/>
        <v>0</v>
      </c>
      <c r="O158" s="25">
        <f t="shared" si="42"/>
        <v>0</v>
      </c>
      <c r="P158" s="25">
        <f t="shared" si="42"/>
        <v>0</v>
      </c>
      <c r="Q158" s="25">
        <f t="shared" si="42"/>
        <v>0</v>
      </c>
      <c r="R158" s="25">
        <f t="shared" si="42"/>
        <v>0</v>
      </c>
      <c r="S158" s="25">
        <f t="shared" si="42"/>
        <v>0</v>
      </c>
      <c r="T158" s="25">
        <f t="shared" si="42"/>
        <v>0</v>
      </c>
      <c r="U158" s="25">
        <f t="shared" si="42"/>
        <v>0</v>
      </c>
      <c r="V158" s="25">
        <f t="shared" ref="V158:X158" si="43">V154+V155*1.5+V156*3</f>
        <v>0</v>
      </c>
      <c r="W158" s="25">
        <f t="shared" si="43"/>
        <v>0</v>
      </c>
      <c r="X158" s="25">
        <f t="shared" si="43"/>
        <v>0</v>
      </c>
      <c r="Y158" s="25">
        <f t="shared" si="36"/>
        <v>-135137323.14463255</v>
      </c>
      <c r="Z158" s="42" t="s">
        <v>196</v>
      </c>
    </row>
    <row r="159" spans="2:26" ht="15" customHeight="1" x14ac:dyDescent="0.3">
      <c r="B159" s="6" t="s">
        <v>174</v>
      </c>
    </row>
    <row r="160" spans="2:26" ht="15" customHeight="1" outlineLevel="1" x14ac:dyDescent="0.3">
      <c r="B160" s="35" t="s">
        <v>186</v>
      </c>
      <c r="C160" s="13" t="s">
        <v>119</v>
      </c>
      <c r="D160" s="13" t="s">
        <v>129</v>
      </c>
      <c r="E160" s="25">
        <f>E148*31</f>
        <v>-470621268.80866414</v>
      </c>
      <c r="F160" s="25">
        <f t="shared" ref="F160:U162" si="44">F148*31</f>
        <v>0</v>
      </c>
      <c r="G160" s="25">
        <f t="shared" si="44"/>
        <v>0</v>
      </c>
      <c r="H160" s="25">
        <f t="shared" si="44"/>
        <v>0</v>
      </c>
      <c r="I160" s="25">
        <f t="shared" si="44"/>
        <v>0</v>
      </c>
      <c r="J160" s="25">
        <f t="shared" si="44"/>
        <v>0</v>
      </c>
      <c r="K160" s="25">
        <f t="shared" si="44"/>
        <v>0</v>
      </c>
      <c r="L160" s="25">
        <f t="shared" si="44"/>
        <v>0</v>
      </c>
      <c r="M160" s="25">
        <f t="shared" si="44"/>
        <v>0</v>
      </c>
      <c r="N160" s="25">
        <f t="shared" si="44"/>
        <v>0</v>
      </c>
      <c r="O160" s="25">
        <f t="shared" si="44"/>
        <v>0</v>
      </c>
      <c r="P160" s="25">
        <f t="shared" si="44"/>
        <v>0</v>
      </c>
      <c r="Q160" s="25">
        <f t="shared" si="44"/>
        <v>0</v>
      </c>
      <c r="R160" s="25">
        <f t="shared" si="44"/>
        <v>0</v>
      </c>
      <c r="S160" s="25">
        <f t="shared" si="44"/>
        <v>0</v>
      </c>
      <c r="T160" s="25">
        <f t="shared" si="44"/>
        <v>0</v>
      </c>
      <c r="U160" s="25">
        <f t="shared" si="44"/>
        <v>0</v>
      </c>
      <c r="V160" s="25">
        <f t="shared" ref="V160:X160" si="45">V148*31</f>
        <v>0</v>
      </c>
      <c r="W160" s="25">
        <f t="shared" si="45"/>
        <v>0</v>
      </c>
      <c r="X160" s="25">
        <f t="shared" si="45"/>
        <v>0</v>
      </c>
      <c r="Y160" s="25">
        <f t="shared" ref="Y160:Y164" si="46">SUM(E160:X160)</f>
        <v>-470621268.80866414</v>
      </c>
      <c r="Z160" s="42" t="s">
        <v>192</v>
      </c>
    </row>
    <row r="161" spans="2:26" ht="15" customHeight="1" outlineLevel="1" x14ac:dyDescent="0.3">
      <c r="B161" s="35" t="s">
        <v>186</v>
      </c>
      <c r="C161" s="13" t="s">
        <v>119</v>
      </c>
      <c r="D161" s="13" t="s">
        <v>130</v>
      </c>
      <c r="E161" s="25">
        <f t="shared" ref="E161:E162" si="47">E149*31</f>
        <v>-60948781.046339534</v>
      </c>
      <c r="F161" s="25">
        <f t="shared" si="44"/>
        <v>0</v>
      </c>
      <c r="G161" s="25">
        <f t="shared" si="44"/>
        <v>0</v>
      </c>
      <c r="H161" s="25">
        <f t="shared" si="44"/>
        <v>0</v>
      </c>
      <c r="I161" s="25">
        <f t="shared" si="44"/>
        <v>0</v>
      </c>
      <c r="J161" s="25">
        <f t="shared" si="44"/>
        <v>0</v>
      </c>
      <c r="K161" s="25">
        <f t="shared" si="44"/>
        <v>0</v>
      </c>
      <c r="L161" s="25">
        <f t="shared" si="44"/>
        <v>0</v>
      </c>
      <c r="M161" s="25">
        <f t="shared" si="44"/>
        <v>0</v>
      </c>
      <c r="N161" s="25">
        <f t="shared" si="44"/>
        <v>0</v>
      </c>
      <c r="O161" s="25">
        <f t="shared" si="44"/>
        <v>0</v>
      </c>
      <c r="P161" s="25">
        <f t="shared" si="44"/>
        <v>0</v>
      </c>
      <c r="Q161" s="25">
        <f t="shared" si="44"/>
        <v>0</v>
      </c>
      <c r="R161" s="25">
        <f t="shared" si="44"/>
        <v>0</v>
      </c>
      <c r="S161" s="25">
        <f t="shared" si="44"/>
        <v>0</v>
      </c>
      <c r="T161" s="25">
        <f t="shared" si="44"/>
        <v>0</v>
      </c>
      <c r="U161" s="25">
        <f t="shared" si="44"/>
        <v>0</v>
      </c>
      <c r="V161" s="25">
        <f t="shared" ref="V161:X161" si="48">V149*31</f>
        <v>0</v>
      </c>
      <c r="W161" s="25">
        <f t="shared" si="48"/>
        <v>0</v>
      </c>
      <c r="X161" s="25">
        <f t="shared" si="48"/>
        <v>0</v>
      </c>
      <c r="Y161" s="25">
        <f t="shared" si="46"/>
        <v>-60948781.046339534</v>
      </c>
      <c r="Z161" s="42" t="s">
        <v>193</v>
      </c>
    </row>
    <row r="162" spans="2:26" ht="15" customHeight="1" outlineLevel="1" x14ac:dyDescent="0.3">
      <c r="B162" s="35" t="s">
        <v>186</v>
      </c>
      <c r="C162" s="13" t="s">
        <v>119</v>
      </c>
      <c r="D162" s="13" t="s">
        <v>131</v>
      </c>
      <c r="E162" s="25">
        <f t="shared" si="47"/>
        <v>-12140282.611256884</v>
      </c>
      <c r="F162" s="25">
        <f t="shared" si="44"/>
        <v>0</v>
      </c>
      <c r="G162" s="25">
        <f t="shared" si="44"/>
        <v>0</v>
      </c>
      <c r="H162" s="25">
        <f t="shared" si="44"/>
        <v>0</v>
      </c>
      <c r="I162" s="25">
        <f t="shared" si="44"/>
        <v>0</v>
      </c>
      <c r="J162" s="25">
        <f t="shared" si="44"/>
        <v>0</v>
      </c>
      <c r="K162" s="25">
        <f t="shared" si="44"/>
        <v>0</v>
      </c>
      <c r="L162" s="25">
        <f t="shared" si="44"/>
        <v>0</v>
      </c>
      <c r="M162" s="25">
        <f t="shared" si="44"/>
        <v>0</v>
      </c>
      <c r="N162" s="25">
        <f t="shared" si="44"/>
        <v>0</v>
      </c>
      <c r="O162" s="25">
        <f t="shared" si="44"/>
        <v>0</v>
      </c>
      <c r="P162" s="25">
        <f t="shared" si="44"/>
        <v>0</v>
      </c>
      <c r="Q162" s="25">
        <f t="shared" si="44"/>
        <v>0</v>
      </c>
      <c r="R162" s="25">
        <f t="shared" si="44"/>
        <v>0</v>
      </c>
      <c r="S162" s="25">
        <f t="shared" si="44"/>
        <v>0</v>
      </c>
      <c r="T162" s="25">
        <f t="shared" si="44"/>
        <v>0</v>
      </c>
      <c r="U162" s="25">
        <f t="shared" si="44"/>
        <v>0</v>
      </c>
      <c r="V162" s="25">
        <f t="shared" ref="V162:X162" si="49">V150*31</f>
        <v>0</v>
      </c>
      <c r="W162" s="25">
        <f t="shared" si="49"/>
        <v>0</v>
      </c>
      <c r="X162" s="25">
        <f t="shared" si="49"/>
        <v>0</v>
      </c>
      <c r="Y162" s="25">
        <f t="shared" si="46"/>
        <v>-12140282.611256884</v>
      </c>
      <c r="Z162" s="42" t="s">
        <v>194</v>
      </c>
    </row>
    <row r="163" spans="2:26" ht="15" customHeight="1" outlineLevel="1" x14ac:dyDescent="0.3">
      <c r="B163" s="35" t="s">
        <v>186</v>
      </c>
      <c r="C163" s="13" t="s">
        <v>119</v>
      </c>
      <c r="D163" s="13" t="s">
        <v>166</v>
      </c>
      <c r="E163" s="25">
        <f>SUM(E160:E162)</f>
        <v>-543710332.46626055</v>
      </c>
      <c r="F163" s="25">
        <f t="shared" ref="F163:U163" si="50">SUM(F160:F162)</f>
        <v>0</v>
      </c>
      <c r="G163" s="25">
        <f t="shared" si="50"/>
        <v>0</v>
      </c>
      <c r="H163" s="25">
        <f t="shared" si="50"/>
        <v>0</v>
      </c>
      <c r="I163" s="25">
        <f t="shared" si="50"/>
        <v>0</v>
      </c>
      <c r="J163" s="25">
        <f t="shared" si="50"/>
        <v>0</v>
      </c>
      <c r="K163" s="25">
        <f t="shared" si="50"/>
        <v>0</v>
      </c>
      <c r="L163" s="25">
        <f t="shared" si="50"/>
        <v>0</v>
      </c>
      <c r="M163" s="25">
        <f t="shared" si="50"/>
        <v>0</v>
      </c>
      <c r="N163" s="25">
        <f t="shared" si="50"/>
        <v>0</v>
      </c>
      <c r="O163" s="25">
        <f t="shared" si="50"/>
        <v>0</v>
      </c>
      <c r="P163" s="25">
        <f t="shared" si="50"/>
        <v>0</v>
      </c>
      <c r="Q163" s="25">
        <f t="shared" si="50"/>
        <v>0</v>
      </c>
      <c r="R163" s="25">
        <f t="shared" si="50"/>
        <v>0</v>
      </c>
      <c r="S163" s="25">
        <f t="shared" si="50"/>
        <v>0</v>
      </c>
      <c r="T163" s="25">
        <f t="shared" si="50"/>
        <v>0</v>
      </c>
      <c r="U163" s="25">
        <f t="shared" si="50"/>
        <v>0</v>
      </c>
      <c r="V163" s="25">
        <f t="shared" ref="V163:X163" si="51">SUM(V160:V162)</f>
        <v>0</v>
      </c>
      <c r="W163" s="25">
        <f t="shared" si="51"/>
        <v>0</v>
      </c>
      <c r="X163" s="25">
        <f t="shared" si="51"/>
        <v>0</v>
      </c>
      <c r="Y163" s="25">
        <f t="shared" si="46"/>
        <v>-543710332.46626055</v>
      </c>
      <c r="Z163" s="42" t="s">
        <v>195</v>
      </c>
    </row>
    <row r="164" spans="2:26" ht="15" customHeight="1" outlineLevel="1" x14ac:dyDescent="0.3">
      <c r="B164" s="35" t="s">
        <v>186</v>
      </c>
      <c r="C164" s="13" t="s">
        <v>119</v>
      </c>
      <c r="D164" s="13" t="s">
        <v>167</v>
      </c>
      <c r="E164" s="25">
        <f>E160+E161*1.5+E162*3</f>
        <v>-598465288.2119441</v>
      </c>
      <c r="F164" s="25">
        <f t="shared" ref="F164:U164" si="52">F160+F161*1.5+F162*3</f>
        <v>0</v>
      </c>
      <c r="G164" s="25">
        <f t="shared" si="52"/>
        <v>0</v>
      </c>
      <c r="H164" s="25">
        <f t="shared" si="52"/>
        <v>0</v>
      </c>
      <c r="I164" s="25">
        <f t="shared" si="52"/>
        <v>0</v>
      </c>
      <c r="J164" s="25">
        <f t="shared" si="52"/>
        <v>0</v>
      </c>
      <c r="K164" s="25">
        <f t="shared" si="52"/>
        <v>0</v>
      </c>
      <c r="L164" s="25">
        <f t="shared" si="52"/>
        <v>0</v>
      </c>
      <c r="M164" s="25">
        <f t="shared" si="52"/>
        <v>0</v>
      </c>
      <c r="N164" s="25">
        <f t="shared" si="52"/>
        <v>0</v>
      </c>
      <c r="O164" s="25">
        <f t="shared" si="52"/>
        <v>0</v>
      </c>
      <c r="P164" s="25">
        <f t="shared" si="52"/>
        <v>0</v>
      </c>
      <c r="Q164" s="25">
        <f t="shared" si="52"/>
        <v>0</v>
      </c>
      <c r="R164" s="25">
        <f t="shared" si="52"/>
        <v>0</v>
      </c>
      <c r="S164" s="25">
        <f t="shared" si="52"/>
        <v>0</v>
      </c>
      <c r="T164" s="25">
        <f t="shared" si="52"/>
        <v>0</v>
      </c>
      <c r="U164" s="25">
        <f t="shared" si="52"/>
        <v>0</v>
      </c>
      <c r="V164" s="25">
        <f t="shared" ref="V164:X164" si="53">V160+V161*1.5+V162*3</f>
        <v>0</v>
      </c>
      <c r="W164" s="25">
        <f t="shared" si="53"/>
        <v>0</v>
      </c>
      <c r="X164" s="25">
        <f t="shared" si="53"/>
        <v>0</v>
      </c>
      <c r="Y164" s="25">
        <f t="shared" si="46"/>
        <v>-598465288.2119441</v>
      </c>
      <c r="Z164" s="42" t="s">
        <v>196</v>
      </c>
    </row>
    <row r="165" spans="2:26" ht="15" customHeight="1" x14ac:dyDescent="0.3">
      <c r="B165" s="6" t="s">
        <v>175</v>
      </c>
    </row>
    <row r="166" spans="2:26" ht="15" customHeight="1" outlineLevel="1" x14ac:dyDescent="0.3">
      <c r="B166" s="35" t="s">
        <v>186</v>
      </c>
      <c r="C166" s="13" t="s">
        <v>119</v>
      </c>
      <c r="D166" s="13" t="s">
        <v>132</v>
      </c>
      <c r="E166" s="25">
        <f>E148*365</f>
        <v>-5541185906.9407225</v>
      </c>
      <c r="F166" s="25">
        <f t="shared" ref="F166:U168" si="54">F148*365</f>
        <v>0</v>
      </c>
      <c r="G166" s="25">
        <f t="shared" si="54"/>
        <v>0</v>
      </c>
      <c r="H166" s="25">
        <f t="shared" si="54"/>
        <v>0</v>
      </c>
      <c r="I166" s="25">
        <f t="shared" si="54"/>
        <v>0</v>
      </c>
      <c r="J166" s="25">
        <f t="shared" si="54"/>
        <v>0</v>
      </c>
      <c r="K166" s="25">
        <f t="shared" si="54"/>
        <v>0</v>
      </c>
      <c r="L166" s="25">
        <f t="shared" si="54"/>
        <v>0</v>
      </c>
      <c r="M166" s="25">
        <f t="shared" si="54"/>
        <v>0</v>
      </c>
      <c r="N166" s="25">
        <f t="shared" si="54"/>
        <v>0</v>
      </c>
      <c r="O166" s="25">
        <f t="shared" si="54"/>
        <v>0</v>
      </c>
      <c r="P166" s="25">
        <f t="shared" si="54"/>
        <v>0</v>
      </c>
      <c r="Q166" s="25">
        <f t="shared" si="54"/>
        <v>0</v>
      </c>
      <c r="R166" s="25">
        <f t="shared" si="54"/>
        <v>0</v>
      </c>
      <c r="S166" s="25">
        <f t="shared" si="54"/>
        <v>0</v>
      </c>
      <c r="T166" s="25">
        <f t="shared" si="54"/>
        <v>0</v>
      </c>
      <c r="U166" s="25">
        <f t="shared" si="54"/>
        <v>0</v>
      </c>
      <c r="V166" s="25">
        <f t="shared" ref="V166:X166" si="55">V148*365</f>
        <v>0</v>
      </c>
      <c r="W166" s="25">
        <f t="shared" si="55"/>
        <v>0</v>
      </c>
      <c r="X166" s="25">
        <f t="shared" si="55"/>
        <v>0</v>
      </c>
      <c r="Y166" s="25">
        <f t="shared" ref="Y166:Y170" si="56">SUM(E166:X166)</f>
        <v>-5541185906.9407225</v>
      </c>
      <c r="Z166" s="42" t="s">
        <v>192</v>
      </c>
    </row>
    <row r="167" spans="2:26" ht="15" customHeight="1" outlineLevel="1" x14ac:dyDescent="0.3">
      <c r="B167" s="35" t="s">
        <v>186</v>
      </c>
      <c r="C167" s="13" t="s">
        <v>119</v>
      </c>
      <c r="D167" s="13" t="s">
        <v>133</v>
      </c>
      <c r="E167" s="25">
        <f t="shared" ref="E167:E168" si="57">E149*365</f>
        <v>-717622744.5778687</v>
      </c>
      <c r="F167" s="25">
        <f t="shared" si="54"/>
        <v>0</v>
      </c>
      <c r="G167" s="25">
        <f t="shared" si="54"/>
        <v>0</v>
      </c>
      <c r="H167" s="25">
        <f t="shared" si="54"/>
        <v>0</v>
      </c>
      <c r="I167" s="25">
        <f t="shared" si="54"/>
        <v>0</v>
      </c>
      <c r="J167" s="25">
        <f t="shared" si="54"/>
        <v>0</v>
      </c>
      <c r="K167" s="25">
        <f t="shared" si="54"/>
        <v>0</v>
      </c>
      <c r="L167" s="25">
        <f t="shared" si="54"/>
        <v>0</v>
      </c>
      <c r="M167" s="25">
        <f t="shared" si="54"/>
        <v>0</v>
      </c>
      <c r="N167" s="25">
        <f t="shared" si="54"/>
        <v>0</v>
      </c>
      <c r="O167" s="25">
        <f t="shared" si="54"/>
        <v>0</v>
      </c>
      <c r="P167" s="25">
        <f t="shared" si="54"/>
        <v>0</v>
      </c>
      <c r="Q167" s="25">
        <f t="shared" si="54"/>
        <v>0</v>
      </c>
      <c r="R167" s="25">
        <f t="shared" si="54"/>
        <v>0</v>
      </c>
      <c r="S167" s="25">
        <f t="shared" si="54"/>
        <v>0</v>
      </c>
      <c r="T167" s="25">
        <f t="shared" si="54"/>
        <v>0</v>
      </c>
      <c r="U167" s="25">
        <f t="shared" si="54"/>
        <v>0</v>
      </c>
      <c r="V167" s="25">
        <f t="shared" ref="V167:X167" si="58">V149*365</f>
        <v>0</v>
      </c>
      <c r="W167" s="25">
        <f t="shared" si="58"/>
        <v>0</v>
      </c>
      <c r="X167" s="25">
        <f t="shared" si="58"/>
        <v>0</v>
      </c>
      <c r="Y167" s="25">
        <f t="shared" si="56"/>
        <v>-717622744.5778687</v>
      </c>
      <c r="Z167" s="42" t="s">
        <v>193</v>
      </c>
    </row>
    <row r="168" spans="2:26" ht="15" customHeight="1" outlineLevel="1" x14ac:dyDescent="0.3">
      <c r="B168" s="35" t="s">
        <v>186</v>
      </c>
      <c r="C168" s="13" t="s">
        <v>119</v>
      </c>
      <c r="D168" s="13" t="s">
        <v>134</v>
      </c>
      <c r="E168" s="25">
        <f t="shared" si="57"/>
        <v>-142942037.19705686</v>
      </c>
      <c r="F168" s="25">
        <f t="shared" si="54"/>
        <v>0</v>
      </c>
      <c r="G168" s="25">
        <f t="shared" si="54"/>
        <v>0</v>
      </c>
      <c r="H168" s="25">
        <f t="shared" si="54"/>
        <v>0</v>
      </c>
      <c r="I168" s="25">
        <f t="shared" si="54"/>
        <v>0</v>
      </c>
      <c r="J168" s="25">
        <f t="shared" si="54"/>
        <v>0</v>
      </c>
      <c r="K168" s="25">
        <f t="shared" si="54"/>
        <v>0</v>
      </c>
      <c r="L168" s="25">
        <f t="shared" si="54"/>
        <v>0</v>
      </c>
      <c r="M168" s="25">
        <f t="shared" si="54"/>
        <v>0</v>
      </c>
      <c r="N168" s="25">
        <f t="shared" si="54"/>
        <v>0</v>
      </c>
      <c r="O168" s="25">
        <f t="shared" si="54"/>
        <v>0</v>
      </c>
      <c r="P168" s="25">
        <f t="shared" si="54"/>
        <v>0</v>
      </c>
      <c r="Q168" s="25">
        <f t="shared" si="54"/>
        <v>0</v>
      </c>
      <c r="R168" s="25">
        <f t="shared" si="54"/>
        <v>0</v>
      </c>
      <c r="S168" s="25">
        <f t="shared" si="54"/>
        <v>0</v>
      </c>
      <c r="T168" s="25">
        <f t="shared" si="54"/>
        <v>0</v>
      </c>
      <c r="U168" s="25">
        <f t="shared" si="54"/>
        <v>0</v>
      </c>
      <c r="V168" s="25">
        <f t="shared" ref="V168:X168" si="59">V150*365</f>
        <v>0</v>
      </c>
      <c r="W168" s="25">
        <f t="shared" si="59"/>
        <v>0</v>
      </c>
      <c r="X168" s="25">
        <f t="shared" si="59"/>
        <v>0</v>
      </c>
      <c r="Y168" s="25">
        <f t="shared" si="56"/>
        <v>-142942037.19705686</v>
      </c>
      <c r="Z168" s="42" t="s">
        <v>194</v>
      </c>
    </row>
    <row r="169" spans="2:26" ht="15" customHeight="1" outlineLevel="1" x14ac:dyDescent="0.3">
      <c r="B169" s="35" t="s">
        <v>186</v>
      </c>
      <c r="C169" s="13" t="s">
        <v>119</v>
      </c>
      <c r="D169" s="13" t="s">
        <v>159</v>
      </c>
      <c r="E169" s="25">
        <f>SUM(E166:E168)</f>
        <v>-6401750688.7156477</v>
      </c>
      <c r="F169" s="25">
        <f t="shared" ref="F169:U169" si="60">SUM(F166:F168)</f>
        <v>0</v>
      </c>
      <c r="G169" s="25">
        <f t="shared" si="60"/>
        <v>0</v>
      </c>
      <c r="H169" s="25">
        <f t="shared" si="60"/>
        <v>0</v>
      </c>
      <c r="I169" s="25">
        <f t="shared" si="60"/>
        <v>0</v>
      </c>
      <c r="J169" s="25">
        <f t="shared" si="60"/>
        <v>0</v>
      </c>
      <c r="K169" s="25">
        <f t="shared" si="60"/>
        <v>0</v>
      </c>
      <c r="L169" s="25">
        <f t="shared" si="60"/>
        <v>0</v>
      </c>
      <c r="M169" s="25">
        <f t="shared" si="60"/>
        <v>0</v>
      </c>
      <c r="N169" s="25">
        <f t="shared" si="60"/>
        <v>0</v>
      </c>
      <c r="O169" s="25">
        <f t="shared" si="60"/>
        <v>0</v>
      </c>
      <c r="P169" s="25">
        <f t="shared" si="60"/>
        <v>0</v>
      </c>
      <c r="Q169" s="25">
        <f t="shared" si="60"/>
        <v>0</v>
      </c>
      <c r="R169" s="25">
        <f t="shared" si="60"/>
        <v>0</v>
      </c>
      <c r="S169" s="25">
        <f t="shared" si="60"/>
        <v>0</v>
      </c>
      <c r="T169" s="25">
        <f t="shared" si="60"/>
        <v>0</v>
      </c>
      <c r="U169" s="25">
        <f t="shared" si="60"/>
        <v>0</v>
      </c>
      <c r="V169" s="25">
        <f t="shared" ref="V169:X169" si="61">SUM(V166:V168)</f>
        <v>0</v>
      </c>
      <c r="W169" s="25">
        <f t="shared" si="61"/>
        <v>0</v>
      </c>
      <c r="X169" s="25">
        <f t="shared" si="61"/>
        <v>0</v>
      </c>
      <c r="Y169" s="26">
        <f t="shared" si="56"/>
        <v>-6401750688.7156477</v>
      </c>
      <c r="Z169" s="42" t="s">
        <v>195</v>
      </c>
    </row>
    <row r="170" spans="2:26" ht="15" customHeight="1" outlineLevel="1" x14ac:dyDescent="0.3">
      <c r="B170" s="35" t="s">
        <v>186</v>
      </c>
      <c r="C170" s="13" t="s">
        <v>119</v>
      </c>
      <c r="D170" s="13" t="s">
        <v>168</v>
      </c>
      <c r="E170" s="25">
        <f>E166+E167*1.5+E168*3</f>
        <v>-7046446135.3986959</v>
      </c>
      <c r="F170" s="25">
        <f t="shared" ref="F170:U170" si="62">F166+F167*1.5+F168*3</f>
        <v>0</v>
      </c>
      <c r="G170" s="25">
        <f t="shared" si="62"/>
        <v>0</v>
      </c>
      <c r="H170" s="25">
        <f t="shared" si="62"/>
        <v>0</v>
      </c>
      <c r="I170" s="25">
        <f t="shared" si="62"/>
        <v>0</v>
      </c>
      <c r="J170" s="25">
        <f t="shared" si="62"/>
        <v>0</v>
      </c>
      <c r="K170" s="25">
        <f t="shared" si="62"/>
        <v>0</v>
      </c>
      <c r="L170" s="25">
        <f t="shared" si="62"/>
        <v>0</v>
      </c>
      <c r="M170" s="25">
        <f t="shared" si="62"/>
        <v>0</v>
      </c>
      <c r="N170" s="25">
        <f t="shared" si="62"/>
        <v>0</v>
      </c>
      <c r="O170" s="25">
        <f t="shared" si="62"/>
        <v>0</v>
      </c>
      <c r="P170" s="25">
        <f t="shared" si="62"/>
        <v>0</v>
      </c>
      <c r="Q170" s="25">
        <f t="shared" si="62"/>
        <v>0</v>
      </c>
      <c r="R170" s="25">
        <f t="shared" si="62"/>
        <v>0</v>
      </c>
      <c r="S170" s="25">
        <f t="shared" si="62"/>
        <v>0</v>
      </c>
      <c r="T170" s="25">
        <f t="shared" si="62"/>
        <v>0</v>
      </c>
      <c r="U170" s="25">
        <f t="shared" si="62"/>
        <v>0</v>
      </c>
      <c r="V170" s="25">
        <f t="shared" ref="V170:X170" si="63">V166+V167*1.5+V168*3</f>
        <v>0</v>
      </c>
      <c r="W170" s="25">
        <f t="shared" si="63"/>
        <v>0</v>
      </c>
      <c r="X170" s="25">
        <f t="shared" si="63"/>
        <v>0</v>
      </c>
      <c r="Y170" s="26">
        <f t="shared" si="56"/>
        <v>-7046446135.3986959</v>
      </c>
      <c r="Z170" s="42" t="s">
        <v>196</v>
      </c>
    </row>
    <row r="171" spans="2:26" ht="15" customHeight="1" x14ac:dyDescent="0.3"/>
  </sheetData>
  <mergeCells count="17">
    <mergeCell ref="E3:F3"/>
    <mergeCell ref="K3:L3"/>
    <mergeCell ref="M3:N3"/>
    <mergeCell ref="P3:S3"/>
    <mergeCell ref="K2:L2"/>
    <mergeCell ref="M2:N2"/>
    <mergeCell ref="P2:S2"/>
    <mergeCell ref="M4:N4"/>
    <mergeCell ref="P4:S4"/>
    <mergeCell ref="K5:L5"/>
    <mergeCell ref="M5:N5"/>
    <mergeCell ref="P5:S5"/>
    <mergeCell ref="C9:C15"/>
    <mergeCell ref="C17:C29"/>
    <mergeCell ref="C31:C33"/>
    <mergeCell ref="C35:C38"/>
    <mergeCell ref="K4:L4"/>
  </mergeCells>
  <conditionalFormatting sqref="E3:F3 E13:X13 C40:C69">
    <cfRule type="cellIs" dxfId="14" priority="5" operator="equal">
      <formula>"SWITCH"</formula>
    </cfRule>
  </conditionalFormatting>
  <conditionalFormatting sqref="E17:Y29 E31:X33 E35:Y38 E40:Y69 E71:Y73 E76:Y138 E142:Y146 E148:Y152 E154:Y158 E160:Y164 E166:Y170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M2:M5 T2:T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8096-915B-43FF-96AE-5A30CDD76DEA}">
  <dimension ref="B1:F37"/>
  <sheetViews>
    <sheetView showGridLines="0" zoomScale="85" zoomScaleNormal="85" workbookViewId="0"/>
  </sheetViews>
  <sheetFormatPr baseColWidth="10" defaultColWidth="11.44140625" defaultRowHeight="14.4" outlineLevelRow="1" x14ac:dyDescent="0.3"/>
  <cols>
    <col min="1" max="1" width="2.5546875" customWidth="1"/>
    <col min="2" max="2" width="11.5546875" bestFit="1" customWidth="1"/>
    <col min="3" max="3" width="15.33203125" bestFit="1" customWidth="1"/>
    <col min="4" max="4" width="26.6640625" bestFit="1" customWidth="1"/>
    <col min="5" max="5" width="10.33203125" customWidth="1"/>
    <col min="6" max="6" width="5.5546875" customWidth="1"/>
  </cols>
  <sheetData>
    <row r="1" spans="2:6" ht="15" customHeight="1" x14ac:dyDescent="0.3">
      <c r="C1" s="5" t="s">
        <v>197</v>
      </c>
      <c r="D1" s="3"/>
    </row>
    <row r="2" spans="2:6" ht="15" customHeight="1" outlineLevel="1" x14ac:dyDescent="0.3">
      <c r="C2" s="35" t="s">
        <v>186</v>
      </c>
      <c r="D2" s="9" t="s">
        <v>198</v>
      </c>
      <c r="E2" s="15">
        <f>'3. Comparaison'!Y71</f>
        <v>7.219999999999999E-3</v>
      </c>
      <c r="F2" s="42" t="s">
        <v>192</v>
      </c>
    </row>
    <row r="3" spans="2:6" ht="15" customHeight="1" outlineLevel="1" x14ac:dyDescent="0.3">
      <c r="C3" s="35" t="s">
        <v>186</v>
      </c>
      <c r="D3" s="9" t="s">
        <v>199</v>
      </c>
      <c r="E3" s="15">
        <f>'3. Comparaison'!Y72</f>
        <v>4.7399999999999977E-3</v>
      </c>
      <c r="F3" s="42" t="s">
        <v>193</v>
      </c>
    </row>
    <row r="4" spans="2:6" ht="15" customHeight="1" outlineLevel="1" x14ac:dyDescent="0.3">
      <c r="C4" s="35" t="s">
        <v>186</v>
      </c>
      <c r="D4" s="9" t="s">
        <v>200</v>
      </c>
      <c r="E4" s="15">
        <f>'3. Comparaison'!Y73</f>
        <v>7.8599999999999989E-3</v>
      </c>
      <c r="F4" s="42" t="s">
        <v>194</v>
      </c>
    </row>
    <row r="5" spans="2:6" ht="15" customHeight="1" x14ac:dyDescent="0.3">
      <c r="D5" s="3"/>
    </row>
    <row r="6" spans="2:6" ht="15" customHeight="1" x14ac:dyDescent="0.3">
      <c r="B6" s="5" t="s">
        <v>169</v>
      </c>
      <c r="C6" s="64" t="s">
        <v>201</v>
      </c>
      <c r="D6" s="64"/>
      <c r="E6" s="64"/>
      <c r="F6" s="64"/>
    </row>
    <row r="7" spans="2:6" ht="15" customHeight="1" x14ac:dyDescent="0.3">
      <c r="B7" s="5"/>
      <c r="D7" s="3"/>
    </row>
    <row r="8" spans="2:6" ht="15" customHeight="1" outlineLevel="1" x14ac:dyDescent="0.3">
      <c r="B8" s="35" t="s">
        <v>186</v>
      </c>
      <c r="C8" s="9" t="s">
        <v>62</v>
      </c>
      <c r="D8" s="9" t="s">
        <v>63</v>
      </c>
      <c r="E8" s="22">
        <f>'3. Comparaison'!Y78</f>
        <v>0</v>
      </c>
      <c r="F8" s="42" t="s">
        <v>192</v>
      </c>
    </row>
    <row r="9" spans="2:6" ht="15" customHeight="1" outlineLevel="1" x14ac:dyDescent="0.3">
      <c r="B9" s="35" t="s">
        <v>186</v>
      </c>
      <c r="C9" s="9" t="s">
        <v>62</v>
      </c>
      <c r="D9" s="9" t="s">
        <v>64</v>
      </c>
      <c r="E9" s="22">
        <f>'3. Comparaison'!Y79</f>
        <v>0</v>
      </c>
      <c r="F9" s="42" t="s">
        <v>193</v>
      </c>
    </row>
    <row r="10" spans="2:6" ht="15" customHeight="1" outlineLevel="1" x14ac:dyDescent="0.3">
      <c r="B10" s="35" t="s">
        <v>186</v>
      </c>
      <c r="C10" s="9" t="s">
        <v>62</v>
      </c>
      <c r="D10" s="9" t="s">
        <v>65</v>
      </c>
      <c r="E10" s="22">
        <f>'3. Comparaison'!Y80</f>
        <v>0</v>
      </c>
      <c r="F10" s="42" t="s">
        <v>194</v>
      </c>
    </row>
    <row r="11" spans="2:6" ht="15" customHeight="1" outlineLevel="1" x14ac:dyDescent="0.3">
      <c r="B11" s="35" t="s">
        <v>186</v>
      </c>
      <c r="C11" s="9" t="s">
        <v>67</v>
      </c>
      <c r="D11" s="9" t="s">
        <v>63</v>
      </c>
      <c r="E11" s="22">
        <f>'3. Comparaison'!Y82+'3. Comparaison'!Y85</f>
        <v>-642642.15659099526</v>
      </c>
      <c r="F11" s="42" t="s">
        <v>192</v>
      </c>
    </row>
    <row r="12" spans="2:6" ht="15" customHeight="1" outlineLevel="1" x14ac:dyDescent="0.3">
      <c r="B12" s="35" t="s">
        <v>186</v>
      </c>
      <c r="C12" s="9" t="s">
        <v>67</v>
      </c>
      <c r="D12" s="9" t="s">
        <v>64</v>
      </c>
      <c r="E12" s="22">
        <f>'3. Comparaison'!Y83+'3. Comparaison'!Y86</f>
        <v>-83441.60935660098</v>
      </c>
      <c r="F12" s="42" t="s">
        <v>193</v>
      </c>
    </row>
    <row r="13" spans="2:6" ht="15" customHeight="1" outlineLevel="1" x14ac:dyDescent="0.3">
      <c r="B13" s="35" t="s">
        <v>186</v>
      </c>
      <c r="C13" s="9" t="s">
        <v>67</v>
      </c>
      <c r="D13" s="9" t="s">
        <v>65</v>
      </c>
      <c r="E13" s="22">
        <f>'3. Comparaison'!Y84+'3. Comparaison'!Y87+'3. Comparaison'!Y88</f>
        <v>-20308.132115638029</v>
      </c>
      <c r="F13" s="42" t="s">
        <v>194</v>
      </c>
    </row>
    <row r="14" spans="2:6" ht="15" customHeight="1" outlineLevel="1" x14ac:dyDescent="0.3">
      <c r="B14" s="35" t="s">
        <v>186</v>
      </c>
      <c r="C14" s="13" t="s">
        <v>96</v>
      </c>
      <c r="D14" s="9" t="s">
        <v>63</v>
      </c>
      <c r="E14" s="22">
        <f>'3. Comparaison'!Y136</f>
        <v>10086.687762145608</v>
      </c>
      <c r="F14" s="42" t="s">
        <v>192</v>
      </c>
    </row>
    <row r="15" spans="2:6" ht="15" customHeight="1" outlineLevel="1" x14ac:dyDescent="0.3">
      <c r="B15" s="35" t="s">
        <v>186</v>
      </c>
      <c r="C15" s="13" t="s">
        <v>96</v>
      </c>
      <c r="D15" s="9" t="s">
        <v>64</v>
      </c>
      <c r="E15" s="22">
        <f>'3. Comparaison'!Y137</f>
        <v>1521.2047244241876</v>
      </c>
      <c r="F15" s="42" t="s">
        <v>193</v>
      </c>
    </row>
    <row r="16" spans="2:6" ht="15" customHeight="1" outlineLevel="1" x14ac:dyDescent="0.3">
      <c r="B16" s="35" t="s">
        <v>186</v>
      </c>
      <c r="C16" s="13" t="s">
        <v>96</v>
      </c>
      <c r="D16" s="9" t="s">
        <v>65</v>
      </c>
      <c r="E16" s="22">
        <f>'3. Comparaison'!Y138</f>
        <v>3990.5479607228626</v>
      </c>
      <c r="F16" s="42" t="s">
        <v>194</v>
      </c>
    </row>
    <row r="17" spans="2:6" ht="15" customHeight="1" x14ac:dyDescent="0.3"/>
    <row r="18" spans="2:6" ht="15" customHeight="1" x14ac:dyDescent="0.3">
      <c r="B18" s="5" t="s">
        <v>170</v>
      </c>
      <c r="C18" s="64" t="s">
        <v>201</v>
      </c>
      <c r="D18" s="64"/>
      <c r="E18" s="64"/>
      <c r="F18" s="64"/>
    </row>
    <row r="19" spans="2:6" ht="15" customHeight="1" x14ac:dyDescent="0.3">
      <c r="B19" s="6" t="s">
        <v>172</v>
      </c>
    </row>
    <row r="20" spans="2:6" ht="15" customHeight="1" outlineLevel="1" x14ac:dyDescent="0.3">
      <c r="B20" s="35" t="s">
        <v>186</v>
      </c>
      <c r="C20" s="13" t="s">
        <v>119</v>
      </c>
      <c r="D20" s="13" t="s">
        <v>123</v>
      </c>
      <c r="E20" s="43">
        <f>'3. Comparaison'!Y148</f>
        <v>-15181331.251892392</v>
      </c>
      <c r="F20" s="42" t="s">
        <v>192</v>
      </c>
    </row>
    <row r="21" spans="2:6" ht="15" customHeight="1" outlineLevel="1" x14ac:dyDescent="0.3">
      <c r="B21" s="35" t="s">
        <v>186</v>
      </c>
      <c r="C21" s="13" t="s">
        <v>119</v>
      </c>
      <c r="D21" s="13" t="s">
        <v>124</v>
      </c>
      <c r="E21" s="43">
        <f>'3. Comparaison'!Y149</f>
        <v>-1966089.7111722431</v>
      </c>
      <c r="F21" s="42" t="s">
        <v>193</v>
      </c>
    </row>
    <row r="22" spans="2:6" ht="15" customHeight="1" outlineLevel="1" x14ac:dyDescent="0.3">
      <c r="B22" s="35" t="s">
        <v>186</v>
      </c>
      <c r="C22" s="13" t="s">
        <v>119</v>
      </c>
      <c r="D22" s="13" t="s">
        <v>125</v>
      </c>
      <c r="E22" s="43">
        <f>'3. Comparaison'!Y150</f>
        <v>-391622.01971796399</v>
      </c>
      <c r="F22" s="42" t="s">
        <v>194</v>
      </c>
    </row>
    <row r="23" spans="2:6" ht="15" customHeight="1" outlineLevel="1" x14ac:dyDescent="0.3">
      <c r="B23" s="35" t="s">
        <v>186</v>
      </c>
      <c r="C23" s="13" t="s">
        <v>119</v>
      </c>
      <c r="D23" s="13" t="s">
        <v>162</v>
      </c>
      <c r="E23" s="44">
        <f>'3. Comparaison'!Y151</f>
        <v>-17539042.982782599</v>
      </c>
      <c r="F23" s="42" t="s">
        <v>195</v>
      </c>
    </row>
    <row r="24" spans="2:6" ht="15" customHeight="1" outlineLevel="1" x14ac:dyDescent="0.3">
      <c r="B24" s="35" t="s">
        <v>186</v>
      </c>
      <c r="C24" s="13" t="s">
        <v>119</v>
      </c>
      <c r="D24" s="13" t="s">
        <v>163</v>
      </c>
      <c r="E24" s="44">
        <f>'3. Comparaison'!Y152</f>
        <v>-19305331.877804648</v>
      </c>
      <c r="F24" s="42" t="s">
        <v>196</v>
      </c>
    </row>
    <row r="25" spans="2:6" ht="15" customHeight="1" x14ac:dyDescent="0.3">
      <c r="B25" s="6" t="s">
        <v>174</v>
      </c>
    </row>
    <row r="26" spans="2:6" ht="15" customHeight="1" outlineLevel="1" x14ac:dyDescent="0.3">
      <c r="B26" s="35" t="s">
        <v>186</v>
      </c>
      <c r="C26" s="13" t="s">
        <v>119</v>
      </c>
      <c r="D26" s="13" t="s">
        <v>129</v>
      </c>
      <c r="E26" s="45">
        <f>'3. Comparaison'!Y160</f>
        <v>-470621268.80866414</v>
      </c>
      <c r="F26" s="42" t="s">
        <v>192</v>
      </c>
    </row>
    <row r="27" spans="2:6" ht="15" customHeight="1" outlineLevel="1" x14ac:dyDescent="0.3">
      <c r="B27" s="35" t="s">
        <v>186</v>
      </c>
      <c r="C27" s="13" t="s">
        <v>119</v>
      </c>
      <c r="D27" s="13" t="s">
        <v>130</v>
      </c>
      <c r="E27" s="45">
        <f>'3. Comparaison'!Y161</f>
        <v>-60948781.046339534</v>
      </c>
      <c r="F27" s="42" t="s">
        <v>193</v>
      </c>
    </row>
    <row r="28" spans="2:6" ht="15" customHeight="1" outlineLevel="1" x14ac:dyDescent="0.3">
      <c r="B28" s="35" t="s">
        <v>186</v>
      </c>
      <c r="C28" s="13" t="s">
        <v>119</v>
      </c>
      <c r="D28" s="13" t="s">
        <v>131</v>
      </c>
      <c r="E28" s="45">
        <f>'3. Comparaison'!Y162</f>
        <v>-12140282.611256884</v>
      </c>
      <c r="F28" s="42" t="s">
        <v>194</v>
      </c>
    </row>
    <row r="29" spans="2:6" ht="15" customHeight="1" outlineLevel="1" x14ac:dyDescent="0.3">
      <c r="B29" s="35" t="s">
        <v>186</v>
      </c>
      <c r="C29" s="13" t="s">
        <v>119</v>
      </c>
      <c r="D29" s="13" t="s">
        <v>166</v>
      </c>
      <c r="E29" s="45">
        <f>'3. Comparaison'!Y163</f>
        <v>-543710332.46626055</v>
      </c>
      <c r="F29" s="42" t="s">
        <v>195</v>
      </c>
    </row>
    <row r="30" spans="2:6" ht="15" customHeight="1" outlineLevel="1" x14ac:dyDescent="0.3">
      <c r="B30" s="35" t="s">
        <v>186</v>
      </c>
      <c r="C30" s="13" t="s">
        <v>119</v>
      </c>
      <c r="D30" s="13" t="s">
        <v>167</v>
      </c>
      <c r="E30" s="45">
        <f>'3. Comparaison'!Y164</f>
        <v>-598465288.2119441</v>
      </c>
      <c r="F30" s="42" t="s">
        <v>196</v>
      </c>
    </row>
    <row r="31" spans="2:6" ht="15" customHeight="1" x14ac:dyDescent="0.3">
      <c r="B31" s="6" t="s">
        <v>175</v>
      </c>
    </row>
    <row r="32" spans="2:6" ht="15" customHeight="1" outlineLevel="1" x14ac:dyDescent="0.3">
      <c r="B32" s="35" t="s">
        <v>186</v>
      </c>
      <c r="C32" s="13" t="s">
        <v>119</v>
      </c>
      <c r="D32" s="13" t="s">
        <v>132</v>
      </c>
      <c r="E32" s="45">
        <f>'3. Comparaison'!Y166</f>
        <v>-5541185906.9407225</v>
      </c>
      <c r="F32" s="42" t="s">
        <v>192</v>
      </c>
    </row>
    <row r="33" spans="2:6" ht="15" customHeight="1" outlineLevel="1" x14ac:dyDescent="0.3">
      <c r="B33" s="35" t="s">
        <v>186</v>
      </c>
      <c r="C33" s="13" t="s">
        <v>119</v>
      </c>
      <c r="D33" s="13" t="s">
        <v>133</v>
      </c>
      <c r="E33" s="45">
        <f>'3. Comparaison'!Y167</f>
        <v>-717622744.5778687</v>
      </c>
      <c r="F33" s="42" t="s">
        <v>193</v>
      </c>
    </row>
    <row r="34" spans="2:6" ht="15" customHeight="1" outlineLevel="1" x14ac:dyDescent="0.3">
      <c r="B34" s="35" t="s">
        <v>186</v>
      </c>
      <c r="C34" s="13" t="s">
        <v>119</v>
      </c>
      <c r="D34" s="13" t="s">
        <v>134</v>
      </c>
      <c r="E34" s="45">
        <f>'3. Comparaison'!Y168</f>
        <v>-142942037.19705686</v>
      </c>
      <c r="F34" s="42" t="s">
        <v>194</v>
      </c>
    </row>
    <row r="35" spans="2:6" ht="15" customHeight="1" outlineLevel="1" x14ac:dyDescent="0.3">
      <c r="B35" s="35" t="s">
        <v>186</v>
      </c>
      <c r="C35" s="13" t="s">
        <v>119</v>
      </c>
      <c r="D35" s="13" t="s">
        <v>159</v>
      </c>
      <c r="E35" s="46">
        <f>'3. Comparaison'!Y169</f>
        <v>-6401750688.7156477</v>
      </c>
      <c r="F35" s="42" t="s">
        <v>195</v>
      </c>
    </row>
    <row r="36" spans="2:6" ht="15" customHeight="1" outlineLevel="1" x14ac:dyDescent="0.3">
      <c r="B36" s="35" t="s">
        <v>186</v>
      </c>
      <c r="C36" s="13" t="s">
        <v>119</v>
      </c>
      <c r="D36" s="13" t="s">
        <v>168</v>
      </c>
      <c r="E36" s="46">
        <f>'3. Comparaison'!Y170</f>
        <v>-7046446135.3986959</v>
      </c>
      <c r="F36" s="42" t="s">
        <v>196</v>
      </c>
    </row>
    <row r="37" spans="2:6" ht="15" customHeight="1" x14ac:dyDescent="0.3"/>
  </sheetData>
  <mergeCells count="2">
    <mergeCell ref="C6:F6"/>
    <mergeCell ref="C18:F18"/>
  </mergeCells>
  <conditionalFormatting sqref="E2:E4 E8:E16 E20:E24 E26:E30 E32:E36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5EEF-E513-4E53-864F-060305D5B45D}">
  <dimension ref="A1:D5"/>
  <sheetViews>
    <sheetView workbookViewId="0">
      <selection activeCell="D2" sqref="D2:D3"/>
    </sheetView>
  </sheetViews>
  <sheetFormatPr baseColWidth="10" defaultRowHeight="14.4" x14ac:dyDescent="0.3"/>
  <cols>
    <col min="1" max="1" width="15.5546875" customWidth="1"/>
  </cols>
  <sheetData>
    <row r="1" spans="1:4" x14ac:dyDescent="0.3">
      <c r="A1" t="s">
        <v>235</v>
      </c>
      <c r="B1" t="s">
        <v>237</v>
      </c>
      <c r="C1" t="s">
        <v>238</v>
      </c>
      <c r="D1" t="s">
        <v>240</v>
      </c>
    </row>
    <row r="2" spans="1:4" x14ac:dyDescent="0.3">
      <c r="A2" t="s">
        <v>135</v>
      </c>
      <c r="B2" t="s">
        <v>27</v>
      </c>
      <c r="C2" t="s">
        <v>1</v>
      </c>
      <c r="D2" t="s">
        <v>0</v>
      </c>
    </row>
    <row r="3" spans="1:4" x14ac:dyDescent="0.3">
      <c r="A3" t="s">
        <v>136</v>
      </c>
      <c r="B3" t="s">
        <v>158</v>
      </c>
      <c r="C3" t="s">
        <v>88</v>
      </c>
      <c r="D3" t="s">
        <v>241</v>
      </c>
    </row>
    <row r="4" spans="1:4" x14ac:dyDescent="0.3">
      <c r="B4" t="s">
        <v>28</v>
      </c>
      <c r="C4" t="s">
        <v>239</v>
      </c>
    </row>
    <row r="5" spans="1:4" x14ac:dyDescent="0.3">
      <c r="B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Mode Opératoire</vt:lpstr>
      <vt:lpstr>1. Base</vt:lpstr>
      <vt:lpstr>2. Simulation</vt:lpstr>
      <vt:lpstr>3. Comparaison</vt:lpstr>
      <vt:lpstr>4. Synthèse</vt:lpstr>
      <vt:lpstr>Listes</vt:lpstr>
      <vt:lpstr>L_ACTI_INACTI</vt:lpstr>
      <vt:lpstr>L_CLASSE</vt:lpstr>
      <vt:lpstr>L_FDV</vt:lpstr>
      <vt:lpstr>L_ON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Loryan</dc:creator>
  <cp:keywords/>
  <dc:description/>
  <cp:lastModifiedBy>Fruit Yoann</cp:lastModifiedBy>
  <cp:revision/>
  <dcterms:created xsi:type="dcterms:W3CDTF">2025-09-01T10:51:10Z</dcterms:created>
  <dcterms:modified xsi:type="dcterms:W3CDTF">2025-09-02T18:06:59Z</dcterms:modified>
  <cp:category/>
  <cp:contentStatus/>
</cp:coreProperties>
</file>